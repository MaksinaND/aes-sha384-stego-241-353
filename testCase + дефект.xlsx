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Степа\Desktop\"/>
    </mc:Choice>
  </mc:AlternateContent>
  <xr:revisionPtr revIDLastSave="0" documentId="13_ncr:1_{70219366-F6DE-4C83-95D0-407E3B66DC07}" xr6:coauthVersionLast="47" xr6:coauthVersionMax="47" xr10:uidLastSave="{00000000-0000-0000-0000-000000000000}"/>
  <bookViews>
    <workbookView xWindow="4455" yWindow="4845" windowWidth="29010" windowHeight="15345" xr2:uid="{00000000-000D-0000-FFFF-FFFF00000000}"/>
  </bookViews>
  <sheets>
    <sheet name="Тест-план" sheetId="1" r:id="rId1"/>
    <sheet name="Чек-лист + Дефекты" sheetId="2" r:id="rId2"/>
    <sheet name="Тест-кейс 1 Столярж" sheetId="3" r:id="rId3"/>
    <sheet name="Тест-кейс 2 Столярж" sheetId="4" r:id="rId4"/>
    <sheet name="Тест-кейс 3 Столярж" sheetId="8" r:id="rId5"/>
    <sheet name="Дефект" sheetId="5" r:id="rId6"/>
  </sheets>
  <definedNames>
    <definedName name="_xlnm._FilterDatabase" localSheetId="1" hidden="1">'Чек-лист + Дефекты'!$A$1:$F$149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0" i="8" l="1"/>
  <c r="E10" i="8"/>
  <c r="H10" i="8" s="1"/>
  <c r="D10" i="8"/>
  <c r="A10" i="8"/>
  <c r="E13" i="1"/>
  <c r="F10" i="4"/>
  <c r="E10" i="4"/>
  <c r="D10" i="4"/>
  <c r="A10" i="4"/>
  <c r="A13" i="3"/>
  <c r="F10" i="3"/>
  <c r="E10" i="3"/>
  <c r="D10" i="3"/>
  <c r="G1" i="3"/>
  <c r="H10" i="4" l="1"/>
  <c r="A10" i="3"/>
  <c r="H10" i="3" s="1"/>
</calcChain>
</file>

<file path=xl/sharedStrings.xml><?xml version="1.0" encoding="utf-8"?>
<sst xmlns="http://schemas.openxmlformats.org/spreadsheetml/2006/main" count="285" uniqueCount="178">
  <si>
    <t>Тест-план по системному тестированию TextFilter</t>
  </si>
  <si>
    <t>Цели доработки</t>
  </si>
  <si>
    <t>Обеспечение корректного функционирования утилиты по работе со списками</t>
  </si>
  <si>
    <t>Важен критерий: задукоментированы все дефекты, исправлены все дефекты с приоритетом выше Critical</t>
  </si>
  <si>
    <t>1 - самый высокий приоритет</t>
  </si>
  <si>
    <t>JiraTask</t>
  </si>
  <si>
    <t>Область функционала</t>
  </si>
  <si>
    <t>Прио</t>
  </si>
  <si>
    <t>Стратегия тестирования</t>
  </si>
  <si>
    <t>h</t>
  </si>
  <si>
    <t>Риски</t>
  </si>
  <si>
    <t>Статус</t>
  </si>
  <si>
    <t>Аналитик</t>
  </si>
  <si>
    <t>Разработчик</t>
  </si>
  <si>
    <t>Тестировщик</t>
  </si>
  <si>
    <t>FSD</t>
  </si>
  <si>
    <t>dumb.chm</t>
  </si>
  <si>
    <t>Итого</t>
  </si>
  <si>
    <t>Тест-кейсы</t>
  </si>
  <si>
    <t>Результат</t>
  </si>
  <si>
    <t>Дефект</t>
  </si>
  <si>
    <t>№</t>
  </si>
  <si>
    <t>Наименование</t>
  </si>
  <si>
    <t>Важность</t>
  </si>
  <si>
    <t>New</t>
  </si>
  <si>
    <t>Open</t>
  </si>
  <si>
    <t>Save</t>
  </si>
  <si>
    <t>Exit</t>
  </si>
  <si>
    <t>Не закрывается файл справки</t>
  </si>
  <si>
    <t>Trivial</t>
  </si>
  <si>
    <t>Index</t>
  </si>
  <si>
    <t>Minor</t>
  </si>
  <si>
    <t xml:space="preserve">Все </t>
  </si>
  <si>
    <t>Текущий раздел</t>
  </si>
  <si>
    <t>Отмена</t>
  </si>
  <si>
    <t>About</t>
  </si>
  <si>
    <t>Critical</t>
  </si>
  <si>
    <t>High</t>
  </si>
  <si>
    <t>Cut</t>
  </si>
  <si>
    <t>Copy</t>
  </si>
  <si>
    <t>Paste</t>
  </si>
  <si>
    <t>Наименование:</t>
  </si>
  <si>
    <t>№:</t>
  </si>
  <si>
    <t>Описание:</t>
  </si>
  <si>
    <t>Статус:</t>
  </si>
  <si>
    <t>Дефекты №:</t>
  </si>
  <si>
    <t>Тестировщик:</t>
  </si>
  <si>
    <t>Дата:</t>
  </si>
  <si>
    <t>Начальные условия:</t>
  </si>
  <si>
    <t>&lt;список параметров&gt;</t>
  </si>
  <si>
    <t>&lt;соответствующие значения&gt;</t>
  </si>
  <si>
    <t>&lt;отметка о проверке при выполнении кейса&gt;</t>
  </si>
  <si>
    <t>шагов</t>
  </si>
  <si>
    <t>Число шагов по статусам:</t>
  </si>
  <si>
    <t>% Complete:</t>
  </si>
  <si>
    <t>Шаг</t>
  </si>
  <si>
    <t>Действие</t>
  </si>
  <si>
    <t>Ожидаемый результат</t>
  </si>
  <si>
    <t>Pass</t>
  </si>
  <si>
    <t>Fail</t>
  </si>
  <si>
    <t>N/A</t>
  </si>
  <si>
    <t>Фактический результат</t>
  </si>
  <si>
    <t>№ дефекта</t>
  </si>
  <si>
    <t>x</t>
  </si>
  <si>
    <t>Название</t>
  </si>
  <si>
    <t>№ тест-кейса</t>
  </si>
  <si>
    <t xml:space="preserve">Проект </t>
  </si>
  <si>
    <t xml:space="preserve">Компонент </t>
  </si>
  <si>
    <t xml:space="preserve">Статус </t>
  </si>
  <si>
    <t xml:space="preserve">Номер версии </t>
  </si>
  <si>
    <t>Важность:</t>
  </si>
  <si>
    <t>Приоритет:</t>
  </si>
  <si>
    <t xml:space="preserve">Назначен на </t>
  </si>
  <si>
    <t>Автор</t>
  </si>
  <si>
    <t>Описание</t>
  </si>
  <si>
    <t>Вложения</t>
  </si>
  <si>
    <t>Регистрация</t>
  </si>
  <si>
    <t>Авторизация</t>
  </si>
  <si>
    <t>Кнопки переключения между страницами</t>
  </si>
  <si>
    <t>Нет логина</t>
  </si>
  <si>
    <t>Р01</t>
  </si>
  <si>
    <t>Нет пароля</t>
  </si>
  <si>
    <t>Программа пишет "Введите логин и пароль"</t>
  </si>
  <si>
    <t>P02</t>
  </si>
  <si>
    <t>Регистрация с разными значениями</t>
  </si>
  <si>
    <t>Регистрация успешна</t>
  </si>
  <si>
    <t>P03</t>
  </si>
  <si>
    <t>P04</t>
  </si>
  <si>
    <t>P05</t>
  </si>
  <si>
    <t>P06</t>
  </si>
  <si>
    <t>P07</t>
  </si>
  <si>
    <t>P08</t>
  </si>
  <si>
    <t>P09</t>
  </si>
  <si>
    <t>P10</t>
  </si>
  <si>
    <t>P11</t>
  </si>
  <si>
    <t>P12</t>
  </si>
  <si>
    <t>P13</t>
  </si>
  <si>
    <t>P14</t>
  </si>
  <si>
    <t>Регистрация администратора</t>
  </si>
  <si>
    <t>логин: пустая строка пароль: пустая строка</t>
  </si>
  <si>
    <t>логин:Test2@^#$%$ пароль: !@^#12awdc</t>
  </si>
  <si>
    <t>логин: Test1 пароль: 1234qwerty</t>
  </si>
  <si>
    <t>логин: Test пароль: 1</t>
  </si>
  <si>
    <t>логин: Test пароль: пустая строка</t>
  </si>
  <si>
    <t>логин: пустая строка пароль: 123</t>
  </si>
  <si>
    <t>логин: admin пароль: makeMeAdmin</t>
  </si>
  <si>
    <t>Регистрация тогоже логина</t>
  </si>
  <si>
    <t>логин: Test1 пароль: qwerty</t>
  </si>
  <si>
    <t>Программа предупрждает, что уже существует такой пользователь</t>
  </si>
  <si>
    <t>логин: пустая строка пароль: 1</t>
  </si>
  <si>
    <t>А01</t>
  </si>
  <si>
    <t>А02</t>
  </si>
  <si>
    <t>Ввод неверного логина или пароля</t>
  </si>
  <si>
    <t>логин: Test пароль: 345</t>
  </si>
  <si>
    <t>А03</t>
  </si>
  <si>
    <t xml:space="preserve">Программа оповещает, что пароль неверный </t>
  </si>
  <si>
    <t>логин: Tset пароль: 1</t>
  </si>
  <si>
    <t>А04</t>
  </si>
  <si>
    <t>Пользователь не найден</t>
  </si>
  <si>
    <t>логин: Tset пароль: 345</t>
  </si>
  <si>
    <t>А05</t>
  </si>
  <si>
    <t>Вход с правильными данными</t>
  </si>
  <si>
    <t>Вход выполнен, как user</t>
  </si>
  <si>
    <r>
      <t xml:space="preserve">логин: </t>
    </r>
    <r>
      <rPr>
        <sz val="10"/>
        <color rgb="FF000000"/>
        <rFont val="Arial Unicode MS"/>
      </rPr>
      <t>Test</t>
    </r>
    <r>
      <rPr>
        <sz val="11"/>
        <color rgb="FF000000"/>
        <rFont val="Calibri"/>
        <family val="2"/>
        <charset val="204"/>
      </rPr>
      <t xml:space="preserve"> пароль: </t>
    </r>
    <r>
      <rPr>
        <sz val="10"/>
        <color rgb="FF000000"/>
        <rFont val="Arial Unicode MS"/>
      </rPr>
      <t>1</t>
    </r>
  </si>
  <si>
    <t>Вход выполнен, как admin</t>
  </si>
  <si>
    <t>А06</t>
  </si>
  <si>
    <t>А07</t>
  </si>
  <si>
    <t>Переход по всем вкладкам как user</t>
  </si>
  <si>
    <t>Вкладка Стеганография</t>
  </si>
  <si>
    <t>Вкладка Метод хорд</t>
  </si>
  <si>
    <t>Вкладка AES</t>
  </si>
  <si>
    <t>Вкладка SHA-384</t>
  </si>
  <si>
    <t>Admin</t>
  </si>
  <si>
    <t>Переход осуществлен, доступ есть</t>
  </si>
  <si>
    <t>ПЕР01</t>
  </si>
  <si>
    <t>ПЕР02</t>
  </si>
  <si>
    <t>ПЕР03</t>
  </si>
  <si>
    <t>ПЕР04</t>
  </si>
  <si>
    <t>ПЕР05</t>
  </si>
  <si>
    <t>Переход не осуществлен, у роли user не достаточно прав</t>
  </si>
  <si>
    <t>Переход по всем вкладкам как admin</t>
  </si>
  <si>
    <t>ПЕР06</t>
  </si>
  <si>
    <t>ПЕР07</t>
  </si>
  <si>
    <t>ПЕР08</t>
  </si>
  <si>
    <t>ПЕР09</t>
  </si>
  <si>
    <t>ПЕР10</t>
  </si>
  <si>
    <t>Тест-кейс для проверки регистрации без логина</t>
  </si>
  <si>
    <t>Столярж Степан</t>
  </si>
  <si>
    <t>Столярж С.А.</t>
  </si>
  <si>
    <t>Столярж С.А. Григорьев Д.С.</t>
  </si>
  <si>
    <t>Крючков А.С.</t>
  </si>
  <si>
    <t>Login</t>
  </si>
  <si>
    <t>Регистрация. Регистрация администратора</t>
  </si>
  <si>
    <t>admin</t>
  </si>
  <si>
    <t>Password</t>
  </si>
  <si>
    <t>makeMeAdmin</t>
  </si>
  <si>
    <t>В окне регистрации написать логин и секретный пароль</t>
  </si>
  <si>
    <t>Посмотреть информационное окно</t>
  </si>
  <si>
    <t>Ваша роль: admin</t>
  </si>
  <si>
    <t>Тест-кейс 2 Столярж</t>
  </si>
  <si>
    <t>Выполнен</t>
  </si>
  <si>
    <t>Авторизация. Проверка неверного пароля</t>
  </si>
  <si>
    <t>Test</t>
  </si>
  <si>
    <t>Тест-кейс для проверки авторизации с неверным паролем</t>
  </si>
  <si>
    <t>В окне авторизации ввести данные и нажать кнопку войти</t>
  </si>
  <si>
    <t xml:space="preserve">Вход не осуществлен, программа вывела "Ошибка: неверный пароль" </t>
  </si>
  <si>
    <t>Кнопки переключения между страницами, переход по всем вкладкам как user</t>
  </si>
  <si>
    <t>Тест-кейс для проверки доступа к страницам у пользователя с ролью user</t>
  </si>
  <si>
    <t>Вход осуществлен, пользователю выдана роль user</t>
  </si>
  <si>
    <t>В основном окне попробовать переключиться между вкладками</t>
  </si>
  <si>
    <t>Доступ есть ко всем вкладкам, кроме Admin</t>
  </si>
  <si>
    <t>REG-001</t>
  </si>
  <si>
    <t>AUTH-002</t>
  </si>
  <si>
    <t>VK-003</t>
  </si>
  <si>
    <t>Проверка ошибок обработки полей логин/пароль</t>
  </si>
  <si>
    <t>Проверка доступности вкладок в зависимости от роли</t>
  </si>
  <si>
    <t>Проверка обработки корректных и некорректных логин/пароль</t>
  </si>
  <si>
    <t>протестирован, нет ошибок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</si>
</sst>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23" x14ac:knownFonts="1">
    <font>
      <sz val="11"/>
      <color rgb="FF000000"/>
      <name val="Calibri"/>
    </font>
    <font>
      <b/>
      <sz val="18"/>
      <color rgb="FF000000"/>
      <name val="Calibri"/>
    </font>
    <font>
      <u/>
      <sz val="11"/>
      <color rgb="FF1F497D"/>
      <name val="Calibri"/>
    </font>
    <font>
      <b/>
      <sz val="12"/>
      <color rgb="FF000000"/>
      <name val="Calibri"/>
    </font>
    <font>
      <b/>
      <sz val="11"/>
      <color rgb="FFFFFFFF"/>
      <name val="Calibri"/>
    </font>
    <font>
      <b/>
      <sz val="11"/>
      <color rgb="FF000000"/>
      <name val="Calibri"/>
    </font>
    <font>
      <u/>
      <sz val="11"/>
      <color rgb="FF0070C0"/>
      <name val="Calibri"/>
    </font>
    <font>
      <b/>
      <sz val="11"/>
      <color rgb="FF00B050"/>
      <name val="Calibri"/>
    </font>
    <font>
      <sz val="11"/>
      <color rgb="FFFF0000"/>
      <name val="Calibri"/>
    </font>
    <font>
      <sz val="11"/>
      <name val="Calibri"/>
    </font>
    <font>
      <u/>
      <sz val="11"/>
      <color rgb="FF0000FF"/>
      <name val="Calibri"/>
    </font>
    <font>
      <sz val="10"/>
      <name val="Times New Roman"/>
    </font>
    <font>
      <b/>
      <sz val="10"/>
      <name val="Times New Roman"/>
    </font>
    <font>
      <sz val="10"/>
      <color rgb="FF000000"/>
      <name val="Times New Roman"/>
    </font>
    <font>
      <sz val="11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000000"/>
      <name val="Aptos Narrow"/>
      <family val="2"/>
      <charset val="204"/>
      <scheme val="minor"/>
    </font>
    <font>
      <b/>
      <sz val="11"/>
      <color rgb="FF000000"/>
      <name val="Calibri"/>
      <family val="2"/>
      <charset val="204"/>
    </font>
    <font>
      <sz val="10"/>
      <color theme="1"/>
      <name val="Arial"/>
      <family val="2"/>
      <charset val="204"/>
    </font>
    <font>
      <sz val="8"/>
      <name val="Calibri"/>
      <family val="2"/>
      <charset val="204"/>
    </font>
    <font>
      <sz val="10"/>
      <color rgb="FF000000"/>
      <name val="Arial Unicode MS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366092"/>
        <bgColor rgb="FF366092"/>
      </patternFill>
    </fill>
    <fill>
      <patternFill patternType="solid">
        <fgColor rgb="FFA5A5A5"/>
        <bgColor rgb="FFA5A5A5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C0C0C0"/>
        <bgColor rgb="FFC0C0C0"/>
      </patternFill>
    </fill>
  </fills>
  <borders count="45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0" borderId="14"/>
  </cellStyleXfs>
  <cellXfs count="116">
    <xf numFmtId="0" fontId="0" fillId="0" borderId="0" xfId="0" applyFont="1" applyAlignment="1"/>
    <xf numFmtId="0" fontId="0" fillId="2" borderId="1" xfId="0" applyFont="1" applyFill="1" applyBorder="1"/>
    <xf numFmtId="0" fontId="0" fillId="0" borderId="0" xfId="0" applyFont="1"/>
    <xf numFmtId="0" fontId="1" fillId="2" borderId="1" xfId="0" applyFont="1" applyFill="1" applyBorder="1" applyAlignment="1">
      <alignment horizontal="center"/>
    </xf>
    <xf numFmtId="0" fontId="2" fillId="2" borderId="1" xfId="0" applyFont="1" applyFill="1" applyBorder="1"/>
    <xf numFmtId="0" fontId="3" fillId="2" borderId="1" xfId="0" applyFont="1" applyFill="1" applyBorder="1"/>
    <xf numFmtId="0" fontId="0" fillId="2" borderId="1" xfId="0" applyFont="1" applyFill="1" applyBorder="1" applyAlignment="1">
      <alignment horizontal="left"/>
    </xf>
    <xf numFmtId="0" fontId="4" fillId="3" borderId="2" xfId="0" applyFont="1" applyFill="1" applyBorder="1" applyAlignment="1">
      <alignment wrapText="1"/>
    </xf>
    <xf numFmtId="0" fontId="0" fillId="0" borderId="2" xfId="0" applyFont="1" applyBorder="1"/>
    <xf numFmtId="0" fontId="0" fillId="2" borderId="2" xfId="0" applyFont="1" applyFill="1" applyBorder="1" applyAlignment="1">
      <alignment wrapText="1"/>
    </xf>
    <xf numFmtId="0" fontId="0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center" wrapText="1"/>
    </xf>
    <xf numFmtId="0" fontId="0" fillId="2" borderId="3" xfId="0" applyFont="1" applyFill="1" applyBorder="1" applyAlignment="1">
      <alignment wrapText="1"/>
    </xf>
    <xf numFmtId="0" fontId="7" fillId="2" borderId="5" xfId="0" applyFont="1" applyFill="1" applyBorder="1"/>
    <xf numFmtId="0" fontId="0" fillId="2" borderId="2" xfId="0" applyFont="1" applyFill="1" applyBorder="1" applyAlignment="1">
      <alignment vertical="top" wrapText="1"/>
    </xf>
    <xf numFmtId="0" fontId="8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wrapText="1"/>
    </xf>
    <xf numFmtId="0" fontId="5" fillId="2" borderId="8" xfId="0" applyFont="1" applyFill="1" applyBorder="1" applyAlignment="1">
      <alignment horizontal="left" wrapText="1"/>
    </xf>
    <xf numFmtId="0" fontId="5" fillId="2" borderId="9" xfId="0" applyFont="1" applyFill="1" applyBorder="1" applyAlignment="1">
      <alignment horizontal="left" wrapText="1"/>
    </xf>
    <xf numFmtId="0" fontId="0" fillId="2" borderId="2" xfId="0" applyFont="1" applyFill="1" applyBorder="1"/>
    <xf numFmtId="0" fontId="0" fillId="2" borderId="1" xfId="0" applyFont="1" applyFill="1" applyBorder="1" applyAlignment="1">
      <alignment wrapText="1"/>
    </xf>
    <xf numFmtId="0" fontId="5" fillId="4" borderId="10" xfId="0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0" borderId="16" xfId="0" applyFont="1" applyBorder="1"/>
    <xf numFmtId="0" fontId="0" fillId="0" borderId="17" xfId="0" applyFont="1" applyBorder="1"/>
    <xf numFmtId="0" fontId="0" fillId="0" borderId="18" xfId="0" applyFont="1" applyBorder="1"/>
    <xf numFmtId="14" fontId="5" fillId="4" borderId="2" xfId="0" applyNumberFormat="1" applyFont="1" applyFill="1" applyBorder="1" applyAlignment="1">
      <alignment horizontal="center"/>
    </xf>
    <xf numFmtId="0" fontId="5" fillId="4" borderId="2" xfId="0" applyFont="1" applyFill="1" applyBorder="1"/>
    <xf numFmtId="0" fontId="0" fillId="5" borderId="2" xfId="0" applyFont="1" applyFill="1" applyBorder="1"/>
    <xf numFmtId="0" fontId="0" fillId="6" borderId="2" xfId="0" applyFont="1" applyFill="1" applyBorder="1"/>
    <xf numFmtId="0" fontId="10" fillId="0" borderId="2" xfId="0" applyFont="1" applyBorder="1"/>
    <xf numFmtId="0" fontId="0" fillId="0" borderId="6" xfId="0" applyFont="1" applyBorder="1"/>
    <xf numFmtId="0" fontId="11" fillId="7" borderId="19" xfId="0" applyFont="1" applyFill="1" applyBorder="1" applyAlignment="1">
      <alignment horizontal="center"/>
    </xf>
    <xf numFmtId="0" fontId="12" fillId="7" borderId="20" xfId="0" applyFont="1" applyFill="1" applyBorder="1" applyAlignment="1">
      <alignment horizontal="right"/>
    </xf>
    <xf numFmtId="0" fontId="12" fillId="7" borderId="22" xfId="0" applyFont="1" applyFill="1" applyBorder="1" applyAlignment="1">
      <alignment horizontal="center"/>
    </xf>
    <xf numFmtId="0" fontId="12" fillId="7" borderId="23" xfId="0" applyFont="1" applyFill="1" applyBorder="1" applyAlignment="1">
      <alignment horizontal="center"/>
    </xf>
    <xf numFmtId="0" fontId="11" fillId="0" borderId="24" xfId="0" applyFont="1" applyBorder="1" applyAlignment="1">
      <alignment horizontal="center" wrapText="1"/>
    </xf>
    <xf numFmtId="0" fontId="11" fillId="7" borderId="25" xfId="0" applyFont="1" applyFill="1" applyBorder="1"/>
    <xf numFmtId="0" fontId="12" fillId="7" borderId="3" xfId="0" applyFont="1" applyFill="1" applyBorder="1" applyAlignment="1">
      <alignment horizontal="center"/>
    </xf>
    <xf numFmtId="0" fontId="12" fillId="7" borderId="8" xfId="0" applyFont="1" applyFill="1" applyBorder="1" applyAlignment="1">
      <alignment horizontal="center"/>
    </xf>
    <xf numFmtId="0" fontId="12" fillId="7" borderId="9" xfId="0" applyFont="1" applyFill="1" applyBorder="1" applyAlignment="1">
      <alignment horizontal="right"/>
    </xf>
    <xf numFmtId="0" fontId="11" fillId="7" borderId="28" xfId="0" applyFont="1" applyFill="1" applyBorder="1"/>
    <xf numFmtId="0" fontId="11" fillId="0" borderId="31" xfId="0" applyFont="1" applyBorder="1" applyAlignment="1">
      <alignment wrapText="1"/>
    </xf>
    <xf numFmtId="0" fontId="12" fillId="7" borderId="19" xfId="0" applyFont="1" applyFill="1" applyBorder="1" applyAlignment="1">
      <alignment horizontal="center"/>
    </xf>
    <xf numFmtId="164" fontId="11" fillId="0" borderId="24" xfId="0" applyNumberFormat="1" applyFont="1" applyBorder="1" applyAlignment="1">
      <alignment horizontal="center" wrapText="1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 applyAlignment="1">
      <alignment horizontal="center"/>
    </xf>
    <xf numFmtId="0" fontId="11" fillId="0" borderId="32" xfId="0" applyFont="1" applyBorder="1"/>
    <xf numFmtId="0" fontId="12" fillId="0" borderId="32" xfId="0" applyFont="1" applyBorder="1" applyAlignment="1">
      <alignment horizontal="center"/>
    </xf>
    <xf numFmtId="0" fontId="0" fillId="0" borderId="32" xfId="0" applyFont="1" applyBorder="1"/>
    <xf numFmtId="0" fontId="11" fillId="0" borderId="0" xfId="0" applyFont="1" applyAlignment="1">
      <alignment horizontal="left" vertical="top" wrapText="1"/>
    </xf>
    <xf numFmtId="0" fontId="11" fillId="0" borderId="0" xfId="0" applyFont="1" applyAlignment="1">
      <alignment horizontal="left"/>
    </xf>
    <xf numFmtId="0" fontId="12" fillId="7" borderId="33" xfId="0" applyFont="1" applyFill="1" applyBorder="1" applyAlignment="1">
      <alignment horizontal="center"/>
    </xf>
    <xf numFmtId="0" fontId="12" fillId="7" borderId="34" xfId="0" applyFont="1" applyFill="1" applyBorder="1"/>
    <xf numFmtId="0" fontId="12" fillId="7" borderId="35" xfId="0" applyFont="1" applyFill="1" applyBorder="1" applyAlignment="1">
      <alignment horizontal="right"/>
    </xf>
    <xf numFmtId="0" fontId="12" fillId="7" borderId="35" xfId="0" applyFont="1" applyFill="1" applyBorder="1" applyAlignment="1">
      <alignment horizontal="center"/>
    </xf>
    <xf numFmtId="0" fontId="12" fillId="7" borderId="36" xfId="0" applyFont="1" applyFill="1" applyBorder="1" applyAlignment="1">
      <alignment horizontal="right"/>
    </xf>
    <xf numFmtId="9" fontId="12" fillId="7" borderId="37" xfId="0" applyNumberFormat="1" applyFont="1" applyFill="1" applyBorder="1"/>
    <xf numFmtId="0" fontId="12" fillId="7" borderId="38" xfId="0" applyFont="1" applyFill="1" applyBorder="1" applyAlignment="1">
      <alignment horizontal="center" textRotation="180"/>
    </xf>
    <xf numFmtId="0" fontId="12" fillId="7" borderId="35" xfId="0" applyFont="1" applyFill="1" applyBorder="1"/>
    <xf numFmtId="0" fontId="12" fillId="7" borderId="35" xfId="0" applyFont="1" applyFill="1" applyBorder="1" applyAlignment="1">
      <alignment horizontal="center" textRotation="180"/>
    </xf>
    <xf numFmtId="0" fontId="12" fillId="7" borderId="36" xfId="0" applyFont="1" applyFill="1" applyBorder="1"/>
    <xf numFmtId="0" fontId="12" fillId="7" borderId="37" xfId="0" applyFont="1" applyFill="1" applyBorder="1"/>
    <xf numFmtId="0" fontId="11" fillId="0" borderId="39" xfId="0" applyFont="1" applyBorder="1" applyAlignment="1">
      <alignment horizontal="center"/>
    </xf>
    <xf numFmtId="0" fontId="12" fillId="0" borderId="7" xfId="0" applyFont="1" applyBorder="1" applyAlignment="1">
      <alignment horizontal="left" vertical="top" wrapText="1"/>
    </xf>
    <xf numFmtId="0" fontId="11" fillId="0" borderId="40" xfId="0" applyFont="1" applyBorder="1" applyAlignment="1">
      <alignment horizontal="left" vertical="top" wrapText="1"/>
    </xf>
    <xf numFmtId="0" fontId="11" fillId="0" borderId="41" xfId="0" applyFont="1" applyBorder="1" applyAlignment="1">
      <alignment horizontal="center"/>
    </xf>
    <xf numFmtId="0" fontId="12" fillId="0" borderId="2" xfId="0" applyFont="1" applyBorder="1" applyAlignment="1">
      <alignment horizontal="left" vertical="top" wrapText="1"/>
    </xf>
    <xf numFmtId="0" fontId="11" fillId="0" borderId="42" xfId="0" applyFont="1" applyBorder="1" applyAlignment="1">
      <alignment horizontal="left" vertical="top" wrapText="1"/>
    </xf>
    <xf numFmtId="0" fontId="12" fillId="0" borderId="7" xfId="0" applyFont="1" applyBorder="1" applyAlignment="1">
      <alignment horizontal="left" vertical="top" wrapText="1"/>
    </xf>
    <xf numFmtId="0" fontId="12" fillId="7" borderId="2" xfId="0" applyFont="1" applyFill="1" applyBorder="1" applyAlignment="1">
      <alignment horizontal="right"/>
    </xf>
    <xf numFmtId="0" fontId="0" fillId="0" borderId="31" xfId="0" applyFont="1" applyBorder="1"/>
    <xf numFmtId="0" fontId="0" fillId="0" borderId="44" xfId="0" applyFont="1" applyBorder="1"/>
    <xf numFmtId="0" fontId="13" fillId="0" borderId="2" xfId="0" applyFont="1" applyBorder="1" applyAlignment="1">
      <alignment horizontal="left" vertical="top" wrapText="1"/>
    </xf>
    <xf numFmtId="0" fontId="12" fillId="7" borderId="2" xfId="0" applyFont="1" applyFill="1" applyBorder="1" applyAlignment="1">
      <alignment horizontal="right" vertical="top"/>
    </xf>
    <xf numFmtId="0" fontId="15" fillId="0" borderId="2" xfId="0" applyFont="1" applyBorder="1"/>
    <xf numFmtId="0" fontId="14" fillId="0" borderId="14" xfId="1" applyFont="1" applyAlignment="1">
      <alignment horizontal="left"/>
    </xf>
    <xf numFmtId="0" fontId="18" fillId="0" borderId="14" xfId="1" applyFont="1" applyAlignment="1">
      <alignment horizontal="center"/>
    </xf>
    <xf numFmtId="0" fontId="18" fillId="0" borderId="14" xfId="1" applyFont="1" applyAlignment="1">
      <alignment horizontal="center"/>
    </xf>
    <xf numFmtId="0" fontId="18" fillId="0" borderId="14" xfId="1" applyFont="1" applyAlignment="1">
      <alignment horizontal="center"/>
    </xf>
    <xf numFmtId="0" fontId="18" fillId="0" borderId="14" xfId="1" applyFont="1" applyAlignment="1">
      <alignment horizontal="center"/>
    </xf>
    <xf numFmtId="0" fontId="17" fillId="0" borderId="2" xfId="0" applyFont="1" applyBorder="1"/>
    <xf numFmtId="0" fontId="15" fillId="0" borderId="0" xfId="0" applyFont="1" applyAlignment="1"/>
    <xf numFmtId="0" fontId="15" fillId="2" borderId="2" xfId="0" applyFont="1" applyFill="1" applyBorder="1" applyAlignment="1">
      <alignment vertical="top" wrapText="1"/>
    </xf>
    <xf numFmtId="0" fontId="21" fillId="0" borderId="21" xfId="0" applyFont="1" applyBorder="1" applyAlignment="1">
      <alignment horizontal="left" vertical="top" wrapText="1"/>
    </xf>
    <xf numFmtId="0" fontId="21" fillId="0" borderId="21" xfId="0" applyFont="1" applyBorder="1" applyAlignment="1">
      <alignment horizontal="center" wrapText="1"/>
    </xf>
    <xf numFmtId="0" fontId="16" fillId="0" borderId="14" xfId="1"/>
    <xf numFmtId="0" fontId="17" fillId="2" borderId="2" xfId="0" applyFont="1" applyFill="1" applyBorder="1" applyAlignment="1">
      <alignment horizontal="center" wrapText="1"/>
    </xf>
    <xf numFmtId="0" fontId="21" fillId="0" borderId="0" xfId="0" applyFont="1"/>
    <xf numFmtId="0" fontId="21" fillId="0" borderId="7" xfId="0" applyFont="1" applyBorder="1" applyAlignment="1">
      <alignment horizontal="left" vertical="top" wrapText="1"/>
    </xf>
    <xf numFmtId="0" fontId="21" fillId="0" borderId="2" xfId="0" applyFont="1" applyBorder="1" applyAlignment="1">
      <alignment horizontal="left" vertical="top" wrapText="1"/>
    </xf>
    <xf numFmtId="0" fontId="21" fillId="0" borderId="24" xfId="0" applyFont="1" applyBorder="1" applyAlignment="1">
      <alignment horizontal="center" wrapText="1"/>
    </xf>
    <xf numFmtId="0" fontId="22" fillId="7" borderId="3" xfId="0" applyFont="1" applyFill="1" applyBorder="1" applyAlignment="1">
      <alignment horizontal="center" wrapText="1"/>
    </xf>
    <xf numFmtId="0" fontId="0" fillId="0" borderId="14" xfId="0" applyBorder="1"/>
    <xf numFmtId="164" fontId="21" fillId="0" borderId="24" xfId="0" applyNumberFormat="1" applyFont="1" applyBorder="1" applyAlignment="1">
      <alignment horizontal="center" wrapText="1"/>
    </xf>
    <xf numFmtId="0" fontId="15" fillId="0" borderId="14" xfId="0" applyFont="1" applyBorder="1"/>
    <xf numFmtId="0" fontId="15" fillId="2" borderId="2" xfId="0" applyFont="1" applyFill="1" applyBorder="1" applyAlignment="1">
      <alignment horizontal="left"/>
    </xf>
    <xf numFmtId="0" fontId="6" fillId="2" borderId="4" xfId="0" applyFont="1" applyFill="1" applyBorder="1" applyAlignment="1">
      <alignment horizontal="left" wrapText="1"/>
    </xf>
    <xf numFmtId="0" fontId="6" fillId="2" borderId="6" xfId="0" applyFont="1" applyFill="1" applyBorder="1" applyAlignment="1">
      <alignment horizontal="left" wrapText="1"/>
    </xf>
    <xf numFmtId="0" fontId="6" fillId="2" borderId="7" xfId="0" applyFont="1" applyFill="1" applyBorder="1" applyAlignment="1">
      <alignment horizontal="left" wrapText="1"/>
    </xf>
    <xf numFmtId="0" fontId="5" fillId="4" borderId="13" xfId="0" applyFont="1" applyFill="1" applyBorder="1" applyAlignment="1">
      <alignment horizontal="center"/>
    </xf>
    <xf numFmtId="0" fontId="9" fillId="0" borderId="14" xfId="0" applyFont="1" applyBorder="1"/>
    <xf numFmtId="0" fontId="9" fillId="0" borderId="15" xfId="0" applyFont="1" applyBorder="1"/>
    <xf numFmtId="0" fontId="11" fillId="7" borderId="26" xfId="0" applyFont="1" applyFill="1" applyBorder="1" applyAlignment="1">
      <alignment horizontal="center"/>
    </xf>
    <xf numFmtId="0" fontId="9" fillId="0" borderId="29" xfId="0" applyFont="1" applyBorder="1"/>
    <xf numFmtId="0" fontId="12" fillId="7" borderId="27" xfId="0" applyFont="1" applyFill="1" applyBorder="1" applyAlignment="1">
      <alignment horizontal="right" vertical="top"/>
    </xf>
    <xf numFmtId="0" fontId="9" fillId="0" borderId="30" xfId="0" applyFont="1" applyBorder="1"/>
    <xf numFmtId="0" fontId="21" fillId="0" borderId="4" xfId="0" applyFont="1" applyBorder="1" applyAlignment="1">
      <alignment horizontal="left" vertical="top" wrapText="1"/>
    </xf>
    <xf numFmtId="0" fontId="9" fillId="0" borderId="7" xfId="0" applyFont="1" applyBorder="1"/>
    <xf numFmtId="0" fontId="0" fillId="0" borderId="31" xfId="0" applyFont="1" applyBorder="1"/>
    <xf numFmtId="0" fontId="9" fillId="0" borderId="43" xfId="0" applyFont="1" applyBorder="1"/>
    <xf numFmtId="0" fontId="9" fillId="0" borderId="44" xfId="0" applyFont="1" applyBorder="1"/>
    <xf numFmtId="0" fontId="11" fillId="0" borderId="31" xfId="0" applyFont="1" applyBorder="1" applyAlignment="1">
      <alignment horizontal="left" vertical="top" wrapText="1"/>
    </xf>
  </cellXfs>
  <cellStyles count="2">
    <cellStyle name="Обычный" xfId="0" builtinId="0"/>
    <cellStyle name="Обычный 2" xfId="1" xr:uid="{081F71C3-6A53-4874-BA6D-AD1ABF182E2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00"/>
  <sheetViews>
    <sheetView tabSelected="1" workbookViewId="0">
      <selection activeCell="F12" sqref="F12"/>
    </sheetView>
  </sheetViews>
  <sheetFormatPr defaultColWidth="14.42578125" defaultRowHeight="15" customHeight="1" x14ac:dyDescent="0.25"/>
  <cols>
    <col min="1" max="1" width="9.140625" customWidth="1"/>
    <col min="2" max="2" width="44.5703125" customWidth="1"/>
    <col min="3" max="3" width="5.7109375" customWidth="1"/>
    <col min="4" max="4" width="60.7109375" customWidth="1"/>
    <col min="5" max="6" width="9.140625" customWidth="1"/>
    <col min="7" max="7" width="17.5703125" customWidth="1"/>
    <col min="8" max="8" width="10" customWidth="1"/>
    <col min="9" max="9" width="14.42578125" customWidth="1"/>
    <col min="10" max="10" width="13" customWidth="1"/>
    <col min="11" max="11" width="20.42578125" customWidth="1"/>
    <col min="12" max="31" width="9.140625" customWidth="1"/>
  </cols>
  <sheetData>
    <row r="1" spans="1:3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23.25" x14ac:dyDescent="0.35">
      <c r="A2" s="1"/>
      <c r="B2" s="2"/>
      <c r="C2" s="3"/>
      <c r="D2" s="3" t="s">
        <v>0</v>
      </c>
      <c r="E2" s="3"/>
      <c r="F2" s="3"/>
      <c r="G2" s="4"/>
      <c r="H2" s="3"/>
      <c r="I2" s="3"/>
      <c r="J2" s="1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ht="15.75" x14ac:dyDescent="0.25">
      <c r="A3" s="1"/>
      <c r="B3" s="5" t="s">
        <v>1</v>
      </c>
      <c r="C3" s="1"/>
      <c r="D3" s="1"/>
      <c r="E3" s="1"/>
      <c r="F3" s="1"/>
      <c r="G3" s="4"/>
      <c r="H3" s="1"/>
      <c r="I3" s="1"/>
      <c r="J3" s="1"/>
      <c r="K3" s="5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x14ac:dyDescent="0.25">
      <c r="A4" s="1"/>
      <c r="B4" s="6" t="s">
        <v>2</v>
      </c>
      <c r="C4" s="6"/>
      <c r="D4" s="6"/>
      <c r="E4" s="6"/>
      <c r="F4" s="6"/>
      <c r="G4" s="4"/>
      <c r="H4" s="6"/>
      <c r="I4" s="6"/>
      <c r="J4" s="1"/>
      <c r="K4" s="6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25">
      <c r="A5" s="1"/>
      <c r="B5" s="6"/>
      <c r="C5" s="6"/>
      <c r="D5" s="6"/>
      <c r="E5" s="6"/>
      <c r="F5" s="6"/>
      <c r="G5" s="1"/>
      <c r="H5" s="6"/>
      <c r="I5" s="6"/>
      <c r="J5" s="1"/>
      <c r="K5" s="6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x14ac:dyDescent="0.25">
      <c r="A6" s="1"/>
      <c r="B6" s="6" t="s">
        <v>3</v>
      </c>
      <c r="C6" s="6"/>
      <c r="D6" s="6"/>
      <c r="E6" s="6"/>
      <c r="F6" s="6"/>
      <c r="G6" s="1"/>
      <c r="H6" s="6"/>
      <c r="I6" s="6"/>
      <c r="J6" s="1"/>
      <c r="K6" s="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x14ac:dyDescent="0.25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15" customHeight="1" x14ac:dyDescent="0.25">
      <c r="A8" s="1"/>
      <c r="B8" s="1" t="s">
        <v>4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30" x14ac:dyDescent="0.25">
      <c r="A9" s="7" t="s">
        <v>5</v>
      </c>
      <c r="B9" s="7" t="s">
        <v>6</v>
      </c>
      <c r="C9" s="7" t="s">
        <v>7</v>
      </c>
      <c r="D9" s="7" t="s">
        <v>8</v>
      </c>
      <c r="E9" s="7" t="s">
        <v>9</v>
      </c>
      <c r="F9" s="7" t="s">
        <v>10</v>
      </c>
      <c r="G9" s="7" t="s">
        <v>11</v>
      </c>
      <c r="H9" s="7" t="s">
        <v>12</v>
      </c>
      <c r="I9" s="7" t="s">
        <v>13</v>
      </c>
      <c r="J9" s="7" t="s">
        <v>14</v>
      </c>
      <c r="K9" s="7" t="s">
        <v>15</v>
      </c>
      <c r="L9" s="1"/>
      <c r="M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30" x14ac:dyDescent="0.25">
      <c r="A10" s="78" t="s">
        <v>171</v>
      </c>
      <c r="B10" s="9" t="s">
        <v>76</v>
      </c>
      <c r="C10" s="10">
        <v>1</v>
      </c>
      <c r="D10" s="99" t="s">
        <v>174</v>
      </c>
      <c r="E10" s="11">
        <v>0.5</v>
      </c>
      <c r="F10" t="s">
        <v>37</v>
      </c>
      <c r="G10" s="12" t="s">
        <v>177</v>
      </c>
      <c r="H10" s="11" t="s">
        <v>148</v>
      </c>
      <c r="I10" s="90" t="s">
        <v>150</v>
      </c>
      <c r="J10" s="90" t="s">
        <v>148</v>
      </c>
      <c r="K10" s="100" t="s">
        <v>16</v>
      </c>
      <c r="L10" s="13"/>
      <c r="M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ht="30" x14ac:dyDescent="0.25">
      <c r="A11" s="78" t="s">
        <v>172</v>
      </c>
      <c r="B11" s="14" t="s">
        <v>77</v>
      </c>
      <c r="C11" s="15">
        <v>1</v>
      </c>
      <c r="D11" s="99" t="s">
        <v>176</v>
      </c>
      <c r="E11" s="11">
        <v>0.5</v>
      </c>
      <c r="F11" t="s">
        <v>36</v>
      </c>
      <c r="G11" s="12" t="s">
        <v>177</v>
      </c>
      <c r="H11" s="11" t="s">
        <v>148</v>
      </c>
      <c r="I11" s="90" t="s">
        <v>150</v>
      </c>
      <c r="J11" s="11" t="s">
        <v>148</v>
      </c>
      <c r="K11" s="101"/>
      <c r="L11" s="13"/>
      <c r="M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ht="45" x14ac:dyDescent="0.25">
      <c r="A12" s="78" t="s">
        <v>173</v>
      </c>
      <c r="B12" s="86" t="s">
        <v>78</v>
      </c>
      <c r="C12" s="15">
        <v>2</v>
      </c>
      <c r="D12" s="9" t="s">
        <v>175</v>
      </c>
      <c r="E12" s="11">
        <v>0.5</v>
      </c>
      <c r="F12" t="s">
        <v>31</v>
      </c>
      <c r="G12" s="12" t="s">
        <v>177</v>
      </c>
      <c r="H12" s="11" t="s">
        <v>148</v>
      </c>
      <c r="I12" s="90" t="s">
        <v>149</v>
      </c>
      <c r="J12" s="11" t="s">
        <v>148</v>
      </c>
      <c r="K12" s="102"/>
      <c r="L12" s="13"/>
      <c r="M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x14ac:dyDescent="0.25">
      <c r="A13" s="16" t="s">
        <v>17</v>
      </c>
      <c r="B13" s="8"/>
      <c r="C13" s="17"/>
      <c r="D13" s="18"/>
      <c r="E13" s="11">
        <f>SUM(E9:E12)</f>
        <v>1.5</v>
      </c>
      <c r="F13" s="11"/>
      <c r="G13" s="19"/>
      <c r="H13" s="11"/>
      <c r="I13" s="11"/>
      <c r="J13" s="9"/>
      <c r="K13" s="9"/>
      <c r="L13" s="13"/>
      <c r="M13" s="1"/>
      <c r="N13" s="1"/>
      <c r="O13" s="1"/>
      <c r="P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25"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25">
      <c r="A15" s="1"/>
      <c r="B15" s="20"/>
      <c r="C15" s="20"/>
      <c r="D15" s="20"/>
      <c r="E15" s="20"/>
      <c r="F15" s="20"/>
      <c r="G15" s="1"/>
      <c r="H15" s="20"/>
      <c r="I15" s="20"/>
      <c r="J15" s="20"/>
      <c r="K15" s="20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x14ac:dyDescent="0.25">
      <c r="A16" s="1"/>
      <c r="B16" s="20"/>
      <c r="C16" s="20"/>
      <c r="D16" s="20"/>
      <c r="E16" s="20"/>
      <c r="F16" s="20"/>
      <c r="G16" s="1"/>
      <c r="H16" s="20"/>
      <c r="I16" s="20"/>
      <c r="J16" s="20"/>
      <c r="K16" s="20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25">
      <c r="A17" s="1"/>
      <c r="B17" s="20"/>
      <c r="C17" s="20"/>
      <c r="D17" s="20"/>
      <c r="E17" s="20"/>
      <c r="F17" s="20"/>
      <c r="G17" s="1"/>
      <c r="H17" s="20"/>
      <c r="I17" s="20"/>
      <c r="J17" s="20"/>
      <c r="K17" s="20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25">
      <c r="A18" s="1"/>
      <c r="B18" s="20"/>
      <c r="C18" s="20"/>
      <c r="D18" s="20"/>
      <c r="E18" s="20"/>
      <c r="F18" s="20"/>
      <c r="G18" s="1"/>
      <c r="H18" s="20"/>
      <c r="I18" s="20"/>
      <c r="J18" s="20"/>
      <c r="K18" s="20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25">
      <c r="A19" s="1"/>
      <c r="B19" s="20"/>
      <c r="C19" s="20"/>
      <c r="D19" s="20"/>
      <c r="E19" s="20"/>
      <c r="F19" s="20"/>
      <c r="G19" s="1"/>
      <c r="H19" s="20"/>
      <c r="I19" s="20"/>
      <c r="J19" s="20"/>
      <c r="K19" s="20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x14ac:dyDescent="0.25">
      <c r="A20" s="1"/>
      <c r="B20" s="20"/>
      <c r="C20" s="1"/>
      <c r="D20" s="1"/>
      <c r="E20" s="1"/>
      <c r="F20" s="1"/>
      <c r="G20" s="1"/>
      <c r="H20" s="1"/>
      <c r="I20" s="20"/>
      <c r="J20" s="20"/>
      <c r="K20" s="20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ht="15.75" customHeight="1" x14ac:dyDescent="0.25">
      <c r="A21" s="1"/>
      <c r="B21" s="20"/>
      <c r="C21" s="20"/>
      <c r="D21" s="20"/>
      <c r="E21" s="20"/>
      <c r="F21" s="20"/>
      <c r="G21" s="1"/>
      <c r="H21" s="20"/>
      <c r="I21" s="20"/>
      <c r="J21" s="20"/>
      <c r="K21" s="20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15.75" customHeight="1" x14ac:dyDescent="0.25">
      <c r="A22" s="1"/>
      <c r="B22" s="20"/>
      <c r="C22" s="20"/>
      <c r="D22" s="20"/>
      <c r="E22" s="20"/>
      <c r="F22" s="20"/>
      <c r="G22" s="1"/>
      <c r="H22" s="20"/>
      <c r="I22" s="20"/>
      <c r="J22" s="20"/>
      <c r="K22" s="20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ht="15.75" customHeight="1" x14ac:dyDescent="0.25">
      <c r="A23" s="1"/>
      <c r="B23" s="20"/>
      <c r="C23" s="20"/>
      <c r="D23" s="20"/>
      <c r="E23" s="20"/>
      <c r="F23" s="20"/>
      <c r="G23" s="1"/>
      <c r="H23" s="20"/>
      <c r="I23" s="20"/>
      <c r="J23" s="20"/>
      <c r="K23" s="20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ht="15.75" customHeight="1" x14ac:dyDescent="0.25">
      <c r="A24" s="1"/>
      <c r="B24" s="20"/>
      <c r="C24" s="20"/>
      <c r="D24" s="20"/>
      <c r="E24" s="20"/>
      <c r="F24" s="20"/>
      <c r="G24" s="1"/>
      <c r="H24" s="20"/>
      <c r="I24" s="20"/>
      <c r="J24" s="20"/>
      <c r="K24" s="20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5.75" customHeight="1" x14ac:dyDescent="0.25">
      <c r="A25" s="2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5.75" customHeight="1" x14ac:dyDescent="0.25">
      <c r="A26" s="2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5.75" customHeight="1" x14ac:dyDescent="0.25">
      <c r="A27" s="2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ht="15.75" customHeight="1" x14ac:dyDescent="0.25">
      <c r="A28" s="2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89"/>
      <c r="AC28" s="89"/>
      <c r="AD28" s="89"/>
      <c r="AE28" s="1"/>
    </row>
    <row r="29" spans="1:31" ht="15.75" customHeight="1" x14ac:dyDescent="0.25">
      <c r="A29" s="2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89"/>
      <c r="AC29" s="89"/>
      <c r="AD29" s="89"/>
      <c r="AE29" s="1"/>
    </row>
    <row r="30" spans="1:31" ht="15.75" customHeight="1" x14ac:dyDescent="0.25">
      <c r="A30" s="2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89"/>
      <c r="AC30" s="89"/>
      <c r="AD30" s="89"/>
      <c r="AE30" s="1"/>
    </row>
    <row r="31" spans="1:31" ht="15.75" customHeight="1" x14ac:dyDescent="0.25">
      <c r="A31" s="2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89"/>
      <c r="AC31" s="89"/>
      <c r="AD31" s="89"/>
      <c r="AE31" s="1"/>
    </row>
    <row r="32" spans="1:31" ht="15.75" customHeight="1" x14ac:dyDescent="0.25">
      <c r="A32" s="2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89"/>
      <c r="AC32" s="89"/>
      <c r="AD32" s="89"/>
      <c r="AE32" s="1"/>
    </row>
    <row r="33" spans="1:31" ht="15.75" customHeight="1" x14ac:dyDescent="0.25">
      <c r="A33" s="2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89"/>
      <c r="AC33" s="89"/>
      <c r="AD33" s="89"/>
      <c r="AE33" s="1"/>
    </row>
    <row r="34" spans="1:31" ht="15.75" customHeight="1" x14ac:dyDescent="0.25">
      <c r="A34" s="2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89"/>
      <c r="AC34" s="89"/>
      <c r="AD34" s="89"/>
      <c r="AE34" s="1"/>
    </row>
    <row r="35" spans="1:31" ht="15.75" customHeight="1" x14ac:dyDescent="0.25">
      <c r="A35" s="2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89"/>
      <c r="AC35" s="89"/>
      <c r="AD35" s="89"/>
      <c r="AE35" s="1"/>
    </row>
    <row r="36" spans="1:31" ht="15.75" customHeight="1" x14ac:dyDescent="0.25">
      <c r="A36" s="2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89"/>
      <c r="AC36" s="89"/>
      <c r="AD36" s="89"/>
      <c r="AE36" s="1"/>
    </row>
    <row r="37" spans="1:31" ht="15.75" customHeight="1" x14ac:dyDescent="0.25">
      <c r="A37" s="2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89"/>
      <c r="AC37" s="89"/>
      <c r="AD37" s="89"/>
      <c r="AE37" s="1"/>
    </row>
    <row r="38" spans="1:31" ht="15.75" customHeight="1" x14ac:dyDescent="0.25">
      <c r="A38" s="2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89"/>
      <c r="AC38" s="89"/>
      <c r="AD38" s="89"/>
      <c r="AE38" s="1"/>
    </row>
    <row r="39" spans="1:31" ht="15.75" customHeight="1" x14ac:dyDescent="0.25">
      <c r="A39" s="2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89"/>
      <c r="AC39" s="89"/>
      <c r="AD39" s="89"/>
      <c r="AE39" s="1"/>
    </row>
    <row r="40" spans="1:31" ht="15.75" customHeight="1" x14ac:dyDescent="0.25">
      <c r="A40" s="2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ht="15.75" customHeight="1" x14ac:dyDescent="0.25">
      <c r="A41" s="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ht="15.75" customHeight="1" x14ac:dyDescent="0.25">
      <c r="A42" s="2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ht="15.75" customHeight="1" x14ac:dyDescent="0.25">
      <c r="A43" s="2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ht="15.75" customHeight="1" x14ac:dyDescent="0.25">
      <c r="A44" s="2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ht="15.75" customHeight="1" x14ac:dyDescent="0.25">
      <c r="A45" s="2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ht="15.75" customHeight="1" x14ac:dyDescent="0.25">
      <c r="A46" s="2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ht="15.75" customHeight="1" x14ac:dyDescent="0.25">
      <c r="A47" s="2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ht="15.75" customHeight="1" x14ac:dyDescent="0.25">
      <c r="A48" s="2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ht="15.75" customHeight="1" x14ac:dyDescent="0.25">
      <c r="A49" s="2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ht="15.75" customHeight="1" x14ac:dyDescent="0.25">
      <c r="A50" s="2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ht="15.75" customHeight="1" x14ac:dyDescent="0.25">
      <c r="A51" s="2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15.75" customHeight="1" x14ac:dyDescent="0.25">
      <c r="A52" s="2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15.75" customHeight="1" x14ac:dyDescent="0.25">
      <c r="A53" s="2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15.75" customHeight="1" x14ac:dyDescent="0.25">
      <c r="A54" s="2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ht="15.75" customHeight="1" x14ac:dyDescent="0.25">
      <c r="A55" s="2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ht="15.75" customHeight="1" x14ac:dyDescent="0.25">
      <c r="A56" s="2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ht="15.75" customHeight="1" x14ac:dyDescent="0.25">
      <c r="A57" s="2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ht="15.75" customHeight="1" x14ac:dyDescent="0.25">
      <c r="A58" s="2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ht="15.75" customHeight="1" x14ac:dyDescent="0.25">
      <c r="A59" s="2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ht="15.75" customHeight="1" x14ac:dyDescent="0.25">
      <c r="A60" s="2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15.75" customHeight="1" x14ac:dyDescent="0.25">
      <c r="A61" s="2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ht="15.75" customHeight="1" x14ac:dyDescent="0.25">
      <c r="A62" s="2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ht="15.75" customHeight="1" x14ac:dyDescent="0.25">
      <c r="A63" s="2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15.75" customHeight="1" x14ac:dyDescent="0.25">
      <c r="A64" s="2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ht="15.75" customHeight="1" x14ac:dyDescent="0.25">
      <c r="A65" s="2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ht="15.75" customHeight="1" x14ac:dyDescent="0.25">
      <c r="A66" s="2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ht="15.75" customHeight="1" x14ac:dyDescent="0.25">
      <c r="A67" s="2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ht="15.75" customHeight="1" x14ac:dyDescent="0.25">
      <c r="A68" s="2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ht="15.75" customHeight="1" x14ac:dyDescent="0.25">
      <c r="A69" s="2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ht="15.75" customHeight="1" x14ac:dyDescent="0.25">
      <c r="A70" s="2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ht="15.75" customHeight="1" x14ac:dyDescent="0.25">
      <c r="A71" s="2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ht="15.75" customHeight="1" x14ac:dyDescent="0.25">
      <c r="A72" s="2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ht="15.75" customHeight="1" x14ac:dyDescent="0.25">
      <c r="A73" s="2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15.75" customHeight="1" x14ac:dyDescent="0.25">
      <c r="A74" s="2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ht="15.75" customHeight="1" x14ac:dyDescent="0.25">
      <c r="A75" s="2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15.75" customHeight="1" x14ac:dyDescent="0.25">
      <c r="A76" s="2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ht="15.75" customHeight="1" x14ac:dyDescent="0.25">
      <c r="A77" s="2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ht="15.75" customHeight="1" x14ac:dyDescent="0.25">
      <c r="A78" s="2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ht="15.75" customHeight="1" x14ac:dyDescent="0.25">
      <c r="A79" s="2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ht="15.75" customHeight="1" x14ac:dyDescent="0.25">
      <c r="A80" s="2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15.75" customHeight="1" x14ac:dyDescent="0.25">
      <c r="A81" s="2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ht="15.75" customHeight="1" x14ac:dyDescent="0.25">
      <c r="A82" s="2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ht="15.75" customHeight="1" x14ac:dyDescent="0.25">
      <c r="A83" s="2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ht="15.75" customHeight="1" x14ac:dyDescent="0.25">
      <c r="A84" s="2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ht="15.75" customHeight="1" x14ac:dyDescent="0.25">
      <c r="A85" s="2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15.75" customHeight="1" x14ac:dyDescent="0.25">
      <c r="A86" s="2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15.75" customHeight="1" x14ac:dyDescent="0.25">
      <c r="A87" s="2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15.75" customHeight="1" x14ac:dyDescent="0.25">
      <c r="A88" s="2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ht="15.75" customHeight="1" x14ac:dyDescent="0.25">
      <c r="A89" s="2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ht="15.75" customHeight="1" x14ac:dyDescent="0.25">
      <c r="A90" s="2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ht="15.75" customHeight="1" x14ac:dyDescent="0.25">
      <c r="A91" s="2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15.75" customHeight="1" x14ac:dyDescent="0.25">
      <c r="A92" s="2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  <row r="93" spans="1:31" ht="15.75" customHeight="1" x14ac:dyDescent="0.25">
      <c r="A93" s="2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</row>
    <row r="94" spans="1:31" ht="15.75" customHeight="1" x14ac:dyDescent="0.25">
      <c r="A94" s="2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</row>
    <row r="95" spans="1:31" ht="15.75" customHeight="1" x14ac:dyDescent="0.25">
      <c r="A95" s="2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</row>
    <row r="96" spans="1:31" ht="15.75" customHeight="1" x14ac:dyDescent="0.25">
      <c r="A96" s="2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</row>
    <row r="97" spans="1:31" ht="15.75" customHeight="1" x14ac:dyDescent="0.25">
      <c r="A97" s="2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</row>
    <row r="98" spans="1:31" ht="15.75" customHeight="1" x14ac:dyDescent="0.25">
      <c r="A98" s="2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</row>
    <row r="99" spans="1:31" ht="15.75" customHeight="1" x14ac:dyDescent="0.25">
      <c r="A99" s="2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</row>
    <row r="100" spans="1:31" ht="15.75" customHeight="1" x14ac:dyDescent="0.25">
      <c r="A100" s="2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</row>
    <row r="101" spans="1:31" ht="15.75" customHeight="1" x14ac:dyDescent="0.25">
      <c r="A101" s="2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</row>
    <row r="102" spans="1:31" ht="15.75" customHeight="1" x14ac:dyDescent="0.25">
      <c r="A102" s="2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</row>
    <row r="103" spans="1:31" ht="15.75" customHeight="1" x14ac:dyDescent="0.25">
      <c r="A103" s="2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</row>
    <row r="104" spans="1:31" ht="15.75" customHeight="1" x14ac:dyDescent="0.25">
      <c r="A104" s="2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</row>
    <row r="105" spans="1:31" ht="15.75" customHeight="1" x14ac:dyDescent="0.25">
      <c r="A105" s="2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</row>
    <row r="106" spans="1:31" ht="15.75" customHeight="1" x14ac:dyDescent="0.25">
      <c r="A106" s="2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</row>
    <row r="107" spans="1:31" ht="15.75" customHeight="1" x14ac:dyDescent="0.25">
      <c r="A107" s="2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</row>
    <row r="108" spans="1:31" ht="15.75" customHeight="1" x14ac:dyDescent="0.25">
      <c r="A108" s="2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</row>
    <row r="109" spans="1:31" ht="15.75" customHeight="1" x14ac:dyDescent="0.25">
      <c r="A109" s="2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</row>
    <row r="110" spans="1:31" ht="15.75" customHeight="1" x14ac:dyDescent="0.25">
      <c r="A110" s="2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</row>
    <row r="111" spans="1:31" ht="15.75" customHeight="1" x14ac:dyDescent="0.25">
      <c r="A111" s="2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</row>
    <row r="112" spans="1:31" ht="15.75" customHeight="1" x14ac:dyDescent="0.25">
      <c r="A112" s="2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</row>
    <row r="113" spans="1:31" ht="15.75" customHeight="1" x14ac:dyDescent="0.25">
      <c r="A113" s="2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</row>
    <row r="114" spans="1:31" ht="15.75" customHeight="1" x14ac:dyDescent="0.25">
      <c r="A114" s="2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</row>
    <row r="115" spans="1:31" ht="15.75" customHeight="1" x14ac:dyDescent="0.25">
      <c r="A115" s="2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</row>
    <row r="116" spans="1:31" ht="15.75" customHeight="1" x14ac:dyDescent="0.25">
      <c r="A116" s="2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</row>
    <row r="117" spans="1:31" ht="15.75" customHeight="1" x14ac:dyDescent="0.25">
      <c r="A117" s="2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</row>
    <row r="118" spans="1:31" ht="15.75" customHeight="1" x14ac:dyDescent="0.25">
      <c r="A118" s="2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</row>
    <row r="119" spans="1:31" ht="15.75" customHeight="1" x14ac:dyDescent="0.25">
      <c r="A119" s="2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</row>
    <row r="120" spans="1:31" ht="15.75" customHeight="1" x14ac:dyDescent="0.25">
      <c r="A120" s="2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</row>
    <row r="121" spans="1:31" ht="15.75" customHeight="1" x14ac:dyDescent="0.25">
      <c r="A121" s="2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</row>
    <row r="122" spans="1:31" ht="15.75" customHeight="1" x14ac:dyDescent="0.25">
      <c r="A122" s="2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</row>
    <row r="123" spans="1:31" ht="15.75" customHeight="1" x14ac:dyDescent="0.25">
      <c r="A123" s="2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</row>
    <row r="124" spans="1:31" ht="15.75" customHeight="1" x14ac:dyDescent="0.25">
      <c r="A124" s="2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</row>
    <row r="125" spans="1:31" ht="15.75" customHeight="1" x14ac:dyDescent="0.25">
      <c r="A125" s="2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</row>
    <row r="126" spans="1:31" ht="15.75" customHeight="1" x14ac:dyDescent="0.25">
      <c r="A126" s="2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</row>
    <row r="127" spans="1:31" ht="15.75" customHeight="1" x14ac:dyDescent="0.25">
      <c r="A127" s="2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</row>
    <row r="128" spans="1:31" ht="15.75" customHeight="1" x14ac:dyDescent="0.25">
      <c r="A128" s="2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</row>
    <row r="129" spans="1:31" ht="15.75" customHeight="1" x14ac:dyDescent="0.25">
      <c r="A129" s="2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</row>
    <row r="130" spans="1:31" ht="15.75" customHeight="1" x14ac:dyDescent="0.25">
      <c r="A130" s="2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</row>
    <row r="131" spans="1:31" ht="15.75" customHeight="1" x14ac:dyDescent="0.25">
      <c r="A131" s="2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</row>
    <row r="132" spans="1:31" ht="15.75" customHeight="1" x14ac:dyDescent="0.25">
      <c r="A132" s="2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</row>
    <row r="133" spans="1:31" ht="15.75" customHeight="1" x14ac:dyDescent="0.25">
      <c r="A133" s="2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</row>
    <row r="134" spans="1:31" ht="15.75" customHeight="1" x14ac:dyDescent="0.25">
      <c r="A134" s="2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</row>
    <row r="135" spans="1:31" ht="15.75" customHeight="1" x14ac:dyDescent="0.25">
      <c r="A135" s="2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</row>
    <row r="136" spans="1:31" ht="15.75" customHeight="1" x14ac:dyDescent="0.25">
      <c r="A136" s="2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</row>
    <row r="137" spans="1:31" ht="15.75" customHeight="1" x14ac:dyDescent="0.25">
      <c r="A137" s="2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</row>
    <row r="138" spans="1:31" ht="15.75" customHeight="1" x14ac:dyDescent="0.25">
      <c r="A138" s="2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</row>
    <row r="139" spans="1:31" ht="15.75" customHeight="1" x14ac:dyDescent="0.25">
      <c r="A139" s="2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</row>
    <row r="140" spans="1:31" ht="15.75" customHeight="1" x14ac:dyDescent="0.25">
      <c r="A140" s="2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</row>
    <row r="141" spans="1:31" ht="15.75" customHeight="1" x14ac:dyDescent="0.25">
      <c r="A141" s="2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</row>
    <row r="142" spans="1:31" ht="15.75" customHeight="1" x14ac:dyDescent="0.25">
      <c r="A142" s="2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</row>
    <row r="143" spans="1:31" ht="15.75" customHeight="1" x14ac:dyDescent="0.25">
      <c r="A143" s="2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</row>
    <row r="144" spans="1:31" ht="15.75" customHeight="1" x14ac:dyDescent="0.25">
      <c r="A144" s="2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</row>
    <row r="145" spans="1:31" ht="15.75" customHeight="1" x14ac:dyDescent="0.25">
      <c r="A145" s="2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</row>
    <row r="146" spans="1:31" ht="15.75" customHeight="1" x14ac:dyDescent="0.25">
      <c r="A146" s="2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</row>
    <row r="147" spans="1:31" ht="15.75" customHeight="1" x14ac:dyDescent="0.25">
      <c r="A147" s="2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</row>
    <row r="148" spans="1:31" ht="15.75" customHeight="1" x14ac:dyDescent="0.25">
      <c r="A148" s="2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</row>
    <row r="149" spans="1:31" ht="15.75" customHeight="1" x14ac:dyDescent="0.25">
      <c r="A149" s="2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</row>
    <row r="150" spans="1:31" ht="15.75" customHeight="1" x14ac:dyDescent="0.25">
      <c r="A150" s="2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</row>
    <row r="151" spans="1:31" ht="15.75" customHeight="1" x14ac:dyDescent="0.25">
      <c r="A151" s="2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</row>
    <row r="152" spans="1:31" ht="15.75" customHeight="1" x14ac:dyDescent="0.25">
      <c r="A152" s="2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</row>
    <row r="153" spans="1:31" ht="15.75" customHeight="1" x14ac:dyDescent="0.25">
      <c r="A153" s="2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</row>
    <row r="154" spans="1:31" ht="15.75" customHeight="1" x14ac:dyDescent="0.25">
      <c r="A154" s="2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</row>
    <row r="155" spans="1:31" ht="15.75" customHeight="1" x14ac:dyDescent="0.25">
      <c r="A155" s="2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</row>
    <row r="156" spans="1:31" ht="15.75" customHeight="1" x14ac:dyDescent="0.25">
      <c r="A156" s="2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</row>
    <row r="157" spans="1:31" ht="15.75" customHeight="1" x14ac:dyDescent="0.25">
      <c r="A157" s="2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</row>
    <row r="158" spans="1:31" ht="15.75" customHeight="1" x14ac:dyDescent="0.25">
      <c r="A158" s="2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</row>
    <row r="159" spans="1:31" ht="15.75" customHeight="1" x14ac:dyDescent="0.25">
      <c r="A159" s="2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</row>
    <row r="160" spans="1:31" ht="15.75" customHeight="1" x14ac:dyDescent="0.25">
      <c r="A160" s="2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</row>
    <row r="161" spans="1:31" ht="15.75" customHeight="1" x14ac:dyDescent="0.25">
      <c r="A161" s="2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</row>
    <row r="162" spans="1:31" ht="15.75" customHeight="1" x14ac:dyDescent="0.25">
      <c r="A162" s="2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</row>
    <row r="163" spans="1:31" ht="15.75" customHeight="1" x14ac:dyDescent="0.25">
      <c r="A163" s="2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</row>
    <row r="164" spans="1:31" ht="15.75" customHeight="1" x14ac:dyDescent="0.25">
      <c r="A164" s="2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</row>
    <row r="165" spans="1:31" ht="15.75" customHeight="1" x14ac:dyDescent="0.25">
      <c r="A165" s="2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</row>
    <row r="166" spans="1:31" ht="15.75" customHeight="1" x14ac:dyDescent="0.25">
      <c r="A166" s="2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</row>
    <row r="167" spans="1:31" ht="15.75" customHeight="1" x14ac:dyDescent="0.25">
      <c r="A167" s="2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</row>
    <row r="168" spans="1:31" ht="15.75" customHeight="1" x14ac:dyDescent="0.25">
      <c r="A168" s="2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</row>
    <row r="169" spans="1:31" ht="15.75" customHeight="1" x14ac:dyDescent="0.25">
      <c r="A169" s="2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</row>
    <row r="170" spans="1:31" ht="15.75" customHeight="1" x14ac:dyDescent="0.25">
      <c r="A170" s="2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</row>
    <row r="171" spans="1:31" ht="15.75" customHeight="1" x14ac:dyDescent="0.25">
      <c r="A171" s="2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</row>
    <row r="172" spans="1:31" ht="15.75" customHeight="1" x14ac:dyDescent="0.25">
      <c r="A172" s="2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</row>
    <row r="173" spans="1:31" ht="15.75" customHeight="1" x14ac:dyDescent="0.25">
      <c r="A173" s="2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</row>
    <row r="174" spans="1:31" ht="15.75" customHeight="1" x14ac:dyDescent="0.25">
      <c r="A174" s="2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</row>
    <row r="175" spans="1:31" ht="15.75" customHeight="1" x14ac:dyDescent="0.25">
      <c r="A175" s="2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</row>
    <row r="176" spans="1:31" ht="15.75" customHeight="1" x14ac:dyDescent="0.25">
      <c r="A176" s="2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</row>
    <row r="177" spans="1:31" ht="15.75" customHeight="1" x14ac:dyDescent="0.25">
      <c r="A177" s="2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</row>
    <row r="178" spans="1:31" ht="15.75" customHeight="1" x14ac:dyDescent="0.25">
      <c r="A178" s="2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</row>
    <row r="179" spans="1:31" ht="15.75" customHeight="1" x14ac:dyDescent="0.25">
      <c r="A179" s="2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</row>
    <row r="180" spans="1:31" ht="15.75" customHeight="1" x14ac:dyDescent="0.25">
      <c r="A180" s="2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</row>
    <row r="181" spans="1:31" ht="15.75" customHeight="1" x14ac:dyDescent="0.25">
      <c r="A181" s="2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</row>
    <row r="182" spans="1:31" ht="15.75" customHeight="1" x14ac:dyDescent="0.25">
      <c r="A182" s="2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</row>
    <row r="183" spans="1:31" ht="15.75" customHeight="1" x14ac:dyDescent="0.25">
      <c r="A183" s="2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</row>
    <row r="184" spans="1:31" ht="15.75" customHeight="1" x14ac:dyDescent="0.25">
      <c r="A184" s="2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</row>
    <row r="185" spans="1:31" ht="15.75" customHeight="1" x14ac:dyDescent="0.25">
      <c r="A185" s="2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</row>
    <row r="186" spans="1:31" ht="15.75" customHeight="1" x14ac:dyDescent="0.25">
      <c r="A186" s="2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</row>
    <row r="187" spans="1:31" ht="15.75" customHeight="1" x14ac:dyDescent="0.25">
      <c r="A187" s="2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</row>
    <row r="188" spans="1:31" ht="15.75" customHeight="1" x14ac:dyDescent="0.25">
      <c r="A188" s="2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</row>
    <row r="189" spans="1:31" ht="15.75" customHeight="1" x14ac:dyDescent="0.25">
      <c r="A189" s="2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</row>
    <row r="190" spans="1:31" ht="15.75" customHeight="1" x14ac:dyDescent="0.25">
      <c r="A190" s="2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</row>
    <row r="191" spans="1:31" ht="15.75" customHeight="1" x14ac:dyDescent="0.25">
      <c r="A191" s="2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</row>
    <row r="192" spans="1:31" ht="15.75" customHeight="1" x14ac:dyDescent="0.25">
      <c r="A192" s="2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</row>
    <row r="193" spans="1:31" ht="15.75" customHeight="1" x14ac:dyDescent="0.25">
      <c r="A193" s="2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</row>
    <row r="194" spans="1:31" ht="15.75" customHeight="1" x14ac:dyDescent="0.25">
      <c r="A194" s="2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</row>
    <row r="195" spans="1:31" ht="15.75" customHeight="1" x14ac:dyDescent="0.25">
      <c r="A195" s="2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</row>
    <row r="196" spans="1:31" ht="15.75" customHeight="1" x14ac:dyDescent="0.25">
      <c r="A196" s="2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</row>
    <row r="197" spans="1:31" ht="15.75" customHeight="1" x14ac:dyDescent="0.25">
      <c r="A197" s="2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</row>
    <row r="198" spans="1:31" ht="15.75" customHeight="1" x14ac:dyDescent="0.25">
      <c r="A198" s="2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</row>
    <row r="199" spans="1:31" ht="15.75" customHeight="1" x14ac:dyDescent="0.25">
      <c r="A199" s="2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</row>
    <row r="200" spans="1:31" ht="15.75" customHeight="1" x14ac:dyDescent="0.25">
      <c r="A200" s="2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</row>
    <row r="201" spans="1:31" ht="15.75" customHeight="1" x14ac:dyDescent="0.25">
      <c r="A201" s="2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</row>
    <row r="202" spans="1:31" ht="15.75" customHeight="1" x14ac:dyDescent="0.25">
      <c r="A202" s="2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</row>
    <row r="203" spans="1:31" ht="15.75" customHeight="1" x14ac:dyDescent="0.25">
      <c r="A203" s="2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</row>
    <row r="204" spans="1:31" ht="15.75" customHeight="1" x14ac:dyDescent="0.25">
      <c r="A204" s="2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</row>
    <row r="205" spans="1:31" ht="15.75" customHeight="1" x14ac:dyDescent="0.25">
      <c r="A205" s="2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</row>
    <row r="206" spans="1:31" ht="15.75" customHeight="1" x14ac:dyDescent="0.25">
      <c r="A206" s="2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</row>
    <row r="207" spans="1:31" ht="15.75" customHeight="1" x14ac:dyDescent="0.25">
      <c r="A207" s="2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</row>
    <row r="208" spans="1:31" ht="15.75" customHeight="1" x14ac:dyDescent="0.25">
      <c r="A208" s="2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</row>
    <row r="209" spans="1:31" ht="15.75" customHeight="1" x14ac:dyDescent="0.25">
      <c r="A209" s="2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</row>
    <row r="210" spans="1:31" ht="15.75" customHeight="1" x14ac:dyDescent="0.25">
      <c r="A210" s="2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</row>
    <row r="211" spans="1:31" ht="15.75" customHeight="1" x14ac:dyDescent="0.25">
      <c r="A211" s="2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</row>
    <row r="212" spans="1:31" ht="15.75" customHeight="1" x14ac:dyDescent="0.25">
      <c r="A212" s="2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</row>
    <row r="213" spans="1:31" ht="15.75" customHeight="1" x14ac:dyDescent="0.25">
      <c r="A213" s="2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</row>
    <row r="214" spans="1:31" ht="15.75" customHeight="1" x14ac:dyDescent="0.25">
      <c r="A214" s="2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</row>
    <row r="215" spans="1:31" ht="15.75" customHeight="1" x14ac:dyDescent="0.25">
      <c r="A215" s="2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</row>
    <row r="216" spans="1:31" ht="15.75" customHeight="1" x14ac:dyDescent="0.25">
      <c r="A216" s="2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</row>
    <row r="217" spans="1:31" ht="15.75" customHeight="1" x14ac:dyDescent="0.25">
      <c r="A217" s="2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</row>
    <row r="218" spans="1:31" ht="15.75" customHeight="1" x14ac:dyDescent="0.25">
      <c r="A218" s="2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</row>
    <row r="219" spans="1:31" ht="15.75" customHeight="1" x14ac:dyDescent="0.25">
      <c r="A219" s="2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</row>
    <row r="220" spans="1:31" ht="15.75" customHeight="1" x14ac:dyDescent="0.25">
      <c r="A220" s="2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</row>
    <row r="221" spans="1:31" ht="15.75" customHeight="1" x14ac:dyDescent="0.25">
      <c r="A221" s="2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</row>
    <row r="222" spans="1:31" ht="15.75" customHeight="1" x14ac:dyDescent="0.25">
      <c r="A222" s="2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</row>
    <row r="223" spans="1:31" ht="15.75" customHeight="1" x14ac:dyDescent="0.25">
      <c r="A223" s="2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</row>
    <row r="224" spans="1:31" ht="15.75" customHeight="1" x14ac:dyDescent="0.25">
      <c r="A224" s="2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</row>
    <row r="225" spans="1:31" ht="15.75" customHeight="1" x14ac:dyDescent="0.25">
      <c r="A225" s="2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</row>
    <row r="226" spans="1:31" ht="15.75" customHeight="1" x14ac:dyDescent="0.25">
      <c r="A226" s="2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</row>
    <row r="227" spans="1:31" ht="15.75" customHeight="1" x14ac:dyDescent="0.25">
      <c r="A227" s="2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</row>
    <row r="228" spans="1:31" ht="15.75" customHeight="1" x14ac:dyDescent="0.25">
      <c r="A228" s="2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</row>
    <row r="229" spans="1:31" ht="15.75" customHeight="1" x14ac:dyDescent="0.25">
      <c r="A229" s="2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</row>
    <row r="230" spans="1:31" ht="15.75" customHeight="1" x14ac:dyDescent="0.25">
      <c r="A230" s="2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</row>
    <row r="231" spans="1:31" ht="15.75" customHeight="1" x14ac:dyDescent="0.25">
      <c r="A231" s="2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</row>
    <row r="232" spans="1:31" ht="15.75" customHeight="1" x14ac:dyDescent="0.25">
      <c r="A232" s="2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</row>
    <row r="233" spans="1:31" ht="15.75" customHeight="1" x14ac:dyDescent="0.25">
      <c r="A233" s="2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</row>
    <row r="234" spans="1:31" ht="15.75" customHeight="1" x14ac:dyDescent="0.25">
      <c r="A234" s="2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</row>
    <row r="235" spans="1:31" ht="15.75" customHeight="1" x14ac:dyDescent="0.25">
      <c r="A235" s="2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</row>
    <row r="236" spans="1:31" ht="15.75" customHeight="1" x14ac:dyDescent="0.25">
      <c r="A236" s="2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</row>
    <row r="237" spans="1:31" ht="15.75" customHeight="1" x14ac:dyDescent="0.25">
      <c r="A237" s="2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</row>
    <row r="238" spans="1:31" ht="15.75" customHeight="1" x14ac:dyDescent="0.25">
      <c r="A238" s="2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</row>
    <row r="239" spans="1:31" ht="15.75" customHeight="1" x14ac:dyDescent="0.25">
      <c r="A239" s="2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</row>
    <row r="240" spans="1:31" ht="15.75" customHeight="1" x14ac:dyDescent="0.25">
      <c r="A240" s="2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</row>
    <row r="241" spans="1:31" ht="15.75" customHeight="1" x14ac:dyDescent="0.25">
      <c r="A241" s="2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</row>
    <row r="242" spans="1:31" ht="15.75" customHeight="1" x14ac:dyDescent="0.25">
      <c r="A242" s="2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</row>
    <row r="243" spans="1:31" ht="15.75" customHeight="1" x14ac:dyDescent="0.25">
      <c r="A243" s="2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</row>
    <row r="244" spans="1:31" ht="15.75" customHeight="1" x14ac:dyDescent="0.25">
      <c r="A244" s="2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</row>
    <row r="245" spans="1:31" ht="15.75" customHeight="1" x14ac:dyDescent="0.25">
      <c r="A245" s="2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</row>
    <row r="246" spans="1:31" ht="15.75" customHeight="1" x14ac:dyDescent="0.25">
      <c r="A246" s="2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</row>
    <row r="247" spans="1:31" ht="15.75" customHeight="1" x14ac:dyDescent="0.25">
      <c r="A247" s="2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</row>
    <row r="248" spans="1:31" ht="15.75" customHeight="1" x14ac:dyDescent="0.25">
      <c r="A248" s="2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</row>
    <row r="249" spans="1:31" ht="15.75" customHeight="1" x14ac:dyDescent="0.25">
      <c r="A249" s="2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</row>
    <row r="250" spans="1:31" ht="15.75" customHeight="1" x14ac:dyDescent="0.25">
      <c r="A250" s="2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</row>
    <row r="251" spans="1:31" ht="15.75" customHeight="1" x14ac:dyDescent="0.25">
      <c r="A251" s="2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</row>
    <row r="252" spans="1:31" ht="15.75" customHeight="1" x14ac:dyDescent="0.25">
      <c r="A252" s="2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</row>
    <row r="253" spans="1:31" ht="15.75" customHeight="1" x14ac:dyDescent="0.25">
      <c r="A253" s="2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</row>
    <row r="254" spans="1:31" ht="15.75" customHeight="1" x14ac:dyDescent="0.25">
      <c r="A254" s="2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</row>
    <row r="255" spans="1:31" ht="15.75" customHeight="1" x14ac:dyDescent="0.25">
      <c r="A255" s="2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</row>
    <row r="256" spans="1:31" ht="15.75" customHeight="1" x14ac:dyDescent="0.25">
      <c r="A256" s="2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</row>
    <row r="257" spans="1:31" ht="15.75" customHeight="1" x14ac:dyDescent="0.25">
      <c r="A257" s="2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</row>
    <row r="258" spans="1:31" ht="15.75" customHeight="1" x14ac:dyDescent="0.25">
      <c r="A258" s="2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</row>
    <row r="259" spans="1:31" ht="15.75" customHeight="1" x14ac:dyDescent="0.25">
      <c r="A259" s="2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</row>
    <row r="260" spans="1:31" ht="15.75" customHeight="1" x14ac:dyDescent="0.25">
      <c r="A260" s="2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</row>
    <row r="261" spans="1:31" ht="15.75" customHeight="1" x14ac:dyDescent="0.25">
      <c r="A261" s="2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</row>
    <row r="262" spans="1:31" ht="15.75" customHeight="1" x14ac:dyDescent="0.25">
      <c r="A262" s="2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</row>
    <row r="263" spans="1:31" ht="15.75" customHeight="1" x14ac:dyDescent="0.25">
      <c r="A263" s="2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</row>
    <row r="264" spans="1:31" ht="15.75" customHeight="1" x14ac:dyDescent="0.25">
      <c r="A264" s="2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</row>
    <row r="265" spans="1:31" ht="15.75" customHeight="1" x14ac:dyDescent="0.25">
      <c r="A265" s="2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</row>
    <row r="266" spans="1:31" ht="15.75" customHeight="1" x14ac:dyDescent="0.25">
      <c r="A266" s="2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</row>
    <row r="267" spans="1:31" ht="15.75" customHeight="1" x14ac:dyDescent="0.25">
      <c r="A267" s="2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</row>
    <row r="268" spans="1:31" ht="15.75" customHeight="1" x14ac:dyDescent="0.25">
      <c r="A268" s="2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</row>
    <row r="269" spans="1:31" ht="15.75" customHeight="1" x14ac:dyDescent="0.25">
      <c r="A269" s="2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</row>
    <row r="270" spans="1:31" ht="15.75" customHeight="1" x14ac:dyDescent="0.25">
      <c r="A270" s="2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</row>
    <row r="271" spans="1:31" ht="15.75" customHeight="1" x14ac:dyDescent="0.25">
      <c r="A271" s="2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</row>
    <row r="272" spans="1:31" ht="15.75" customHeight="1" x14ac:dyDescent="0.25">
      <c r="A272" s="2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</row>
    <row r="273" spans="1:31" ht="15.75" customHeight="1" x14ac:dyDescent="0.25">
      <c r="A273" s="2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</row>
    <row r="274" spans="1:31" ht="15.75" customHeight="1" x14ac:dyDescent="0.25">
      <c r="A274" s="2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</row>
    <row r="275" spans="1:31" ht="15.75" customHeight="1" x14ac:dyDescent="0.25">
      <c r="A275" s="2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</row>
    <row r="276" spans="1:31" ht="15.75" customHeight="1" x14ac:dyDescent="0.25">
      <c r="A276" s="2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</row>
    <row r="277" spans="1:31" ht="15.75" customHeight="1" x14ac:dyDescent="0.25">
      <c r="A277" s="2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</row>
    <row r="278" spans="1:31" ht="15.75" customHeight="1" x14ac:dyDescent="0.25">
      <c r="A278" s="2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</row>
    <row r="279" spans="1:31" ht="15.75" customHeight="1" x14ac:dyDescent="0.25">
      <c r="A279" s="2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</row>
    <row r="280" spans="1:31" ht="15.75" customHeight="1" x14ac:dyDescent="0.25">
      <c r="A280" s="2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</row>
    <row r="281" spans="1:31" ht="15.75" customHeight="1" x14ac:dyDescent="0.25">
      <c r="A281" s="2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</row>
    <row r="282" spans="1:31" ht="15.75" customHeight="1" x14ac:dyDescent="0.25">
      <c r="A282" s="2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</row>
    <row r="283" spans="1:31" ht="15.75" customHeight="1" x14ac:dyDescent="0.25">
      <c r="A283" s="2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</row>
    <row r="284" spans="1:31" ht="15.75" customHeight="1" x14ac:dyDescent="0.25">
      <c r="A284" s="2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</row>
    <row r="285" spans="1:31" ht="15.75" customHeight="1" x14ac:dyDescent="0.25">
      <c r="A285" s="2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</row>
    <row r="286" spans="1:31" ht="15.75" customHeight="1" x14ac:dyDescent="0.25">
      <c r="A286" s="2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</row>
    <row r="287" spans="1:31" ht="15.75" customHeight="1" x14ac:dyDescent="0.25">
      <c r="A287" s="2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</row>
    <row r="288" spans="1:31" ht="15.75" customHeight="1" x14ac:dyDescent="0.25">
      <c r="A288" s="2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</row>
    <row r="289" spans="1:31" ht="15.75" customHeight="1" x14ac:dyDescent="0.25">
      <c r="A289" s="2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</row>
    <row r="290" spans="1:31" ht="15.75" customHeight="1" x14ac:dyDescent="0.25">
      <c r="A290" s="2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</row>
    <row r="291" spans="1:31" ht="15.75" customHeight="1" x14ac:dyDescent="0.25">
      <c r="A291" s="2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</row>
    <row r="292" spans="1:31" ht="15.75" customHeight="1" x14ac:dyDescent="0.25">
      <c r="A292" s="2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</row>
    <row r="293" spans="1:31" ht="15.75" customHeight="1" x14ac:dyDescent="0.25">
      <c r="A293" s="2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</row>
    <row r="294" spans="1:31" ht="15.75" customHeight="1" x14ac:dyDescent="0.25">
      <c r="A294" s="2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</row>
    <row r="295" spans="1:31" ht="15.75" customHeight="1" x14ac:dyDescent="0.25">
      <c r="A295" s="2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</row>
    <row r="296" spans="1:31" ht="15.75" customHeight="1" x14ac:dyDescent="0.25">
      <c r="A296" s="2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</row>
    <row r="297" spans="1:31" ht="15.75" customHeight="1" x14ac:dyDescent="0.25">
      <c r="A297" s="2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</row>
    <row r="298" spans="1:31" ht="15.75" customHeight="1" x14ac:dyDescent="0.25">
      <c r="A298" s="2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</row>
    <row r="299" spans="1:31" ht="15.75" customHeight="1" x14ac:dyDescent="0.25">
      <c r="A299" s="2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</row>
    <row r="300" spans="1:31" ht="15.75" customHeight="1" x14ac:dyDescent="0.25">
      <c r="A300" s="2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</row>
    <row r="301" spans="1:31" ht="15.75" customHeight="1" x14ac:dyDescent="0.25">
      <c r="A301" s="2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</row>
    <row r="302" spans="1:31" ht="15.75" customHeight="1" x14ac:dyDescent="0.25">
      <c r="A302" s="2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</row>
    <row r="303" spans="1:31" ht="15.75" customHeight="1" x14ac:dyDescent="0.25">
      <c r="A303" s="2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</row>
    <row r="304" spans="1:31" ht="15.75" customHeight="1" x14ac:dyDescent="0.25">
      <c r="A304" s="2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</row>
    <row r="305" spans="1:31" ht="15.75" customHeight="1" x14ac:dyDescent="0.25">
      <c r="A305" s="2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</row>
    <row r="306" spans="1:31" ht="15.75" customHeight="1" x14ac:dyDescent="0.25">
      <c r="A306" s="2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</row>
    <row r="307" spans="1:31" ht="15.75" customHeight="1" x14ac:dyDescent="0.25">
      <c r="A307" s="2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</row>
    <row r="308" spans="1:31" ht="15.75" customHeight="1" x14ac:dyDescent="0.25">
      <c r="A308" s="2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</row>
    <row r="309" spans="1:31" ht="15.75" customHeight="1" x14ac:dyDescent="0.25">
      <c r="A309" s="2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</row>
    <row r="310" spans="1:31" ht="15.75" customHeight="1" x14ac:dyDescent="0.25">
      <c r="A310" s="2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</row>
    <row r="311" spans="1:31" ht="15.75" customHeight="1" x14ac:dyDescent="0.25">
      <c r="A311" s="2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</row>
    <row r="312" spans="1:31" ht="15.75" customHeight="1" x14ac:dyDescent="0.25">
      <c r="A312" s="2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</row>
    <row r="313" spans="1:31" ht="15.75" customHeight="1" x14ac:dyDescent="0.25">
      <c r="A313" s="2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</row>
    <row r="314" spans="1:31" ht="15.75" customHeight="1" x14ac:dyDescent="0.25">
      <c r="A314" s="2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</row>
    <row r="315" spans="1:31" ht="15.75" customHeight="1" x14ac:dyDescent="0.25">
      <c r="A315" s="2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</row>
    <row r="316" spans="1:31" ht="15.75" customHeight="1" x14ac:dyDescent="0.25">
      <c r="A316" s="2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</row>
    <row r="317" spans="1:31" ht="15.75" customHeight="1" x14ac:dyDescent="0.25">
      <c r="A317" s="2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</row>
    <row r="318" spans="1:31" ht="15.75" customHeight="1" x14ac:dyDescent="0.25">
      <c r="A318" s="2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</row>
    <row r="319" spans="1:31" ht="15.75" customHeight="1" x14ac:dyDescent="0.25">
      <c r="A319" s="2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</row>
    <row r="320" spans="1:31" ht="15.75" customHeight="1" x14ac:dyDescent="0.25">
      <c r="A320" s="2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</row>
    <row r="321" spans="1:31" ht="15.75" customHeight="1" x14ac:dyDescent="0.25">
      <c r="A321" s="2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</row>
    <row r="322" spans="1:31" ht="15.75" customHeight="1" x14ac:dyDescent="0.25">
      <c r="A322" s="2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</row>
    <row r="323" spans="1:31" ht="15.75" customHeight="1" x14ac:dyDescent="0.25">
      <c r="A323" s="2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</row>
    <row r="324" spans="1:31" ht="15.75" customHeight="1" x14ac:dyDescent="0.25">
      <c r="A324" s="2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</row>
    <row r="325" spans="1:31" ht="15.75" customHeight="1" x14ac:dyDescent="0.25">
      <c r="A325" s="2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</row>
    <row r="326" spans="1:31" ht="15.75" customHeight="1" x14ac:dyDescent="0.25">
      <c r="A326" s="2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</row>
    <row r="327" spans="1:31" ht="15.75" customHeight="1" x14ac:dyDescent="0.25">
      <c r="A327" s="2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</row>
    <row r="328" spans="1:31" ht="15.75" customHeight="1" x14ac:dyDescent="0.25">
      <c r="A328" s="2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</row>
    <row r="329" spans="1:31" ht="15.75" customHeight="1" x14ac:dyDescent="0.25">
      <c r="A329" s="2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</row>
    <row r="330" spans="1:31" ht="15.75" customHeight="1" x14ac:dyDescent="0.25">
      <c r="A330" s="2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</row>
    <row r="331" spans="1:31" ht="15.75" customHeight="1" x14ac:dyDescent="0.25">
      <c r="A331" s="2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</row>
    <row r="332" spans="1:31" ht="15.75" customHeight="1" x14ac:dyDescent="0.25">
      <c r="A332" s="2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</row>
    <row r="333" spans="1:31" ht="15.75" customHeight="1" x14ac:dyDescent="0.25">
      <c r="A333" s="2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</row>
    <row r="334" spans="1:31" ht="15.75" customHeight="1" x14ac:dyDescent="0.25">
      <c r="A334" s="2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</row>
    <row r="335" spans="1:31" ht="15.75" customHeight="1" x14ac:dyDescent="0.25">
      <c r="A335" s="2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</row>
    <row r="336" spans="1:31" ht="15.75" customHeight="1" x14ac:dyDescent="0.25">
      <c r="A336" s="2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</row>
    <row r="337" spans="1:31" ht="15.75" customHeight="1" x14ac:dyDescent="0.25">
      <c r="A337" s="2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</row>
    <row r="338" spans="1:31" ht="15.75" customHeight="1" x14ac:dyDescent="0.25">
      <c r="A338" s="2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</row>
    <row r="339" spans="1:31" ht="15.75" customHeight="1" x14ac:dyDescent="0.25">
      <c r="A339" s="2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</row>
    <row r="340" spans="1:31" ht="15.75" customHeight="1" x14ac:dyDescent="0.25">
      <c r="A340" s="2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</row>
    <row r="341" spans="1:31" ht="15.75" customHeight="1" x14ac:dyDescent="0.25">
      <c r="A341" s="2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</row>
    <row r="342" spans="1:31" ht="15.75" customHeight="1" x14ac:dyDescent="0.25">
      <c r="A342" s="2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</row>
    <row r="343" spans="1:31" ht="15.75" customHeight="1" x14ac:dyDescent="0.25">
      <c r="A343" s="2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</row>
    <row r="344" spans="1:31" ht="15.75" customHeight="1" x14ac:dyDescent="0.25">
      <c r="A344" s="2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</row>
    <row r="345" spans="1:31" ht="15.75" customHeight="1" x14ac:dyDescent="0.25">
      <c r="A345" s="2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</row>
    <row r="346" spans="1:31" ht="15.75" customHeight="1" x14ac:dyDescent="0.25">
      <c r="A346" s="2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</row>
    <row r="347" spans="1:31" ht="15.75" customHeight="1" x14ac:dyDescent="0.25">
      <c r="A347" s="2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</row>
    <row r="348" spans="1:31" ht="15.75" customHeight="1" x14ac:dyDescent="0.25">
      <c r="A348" s="2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</row>
    <row r="349" spans="1:31" ht="15.75" customHeight="1" x14ac:dyDescent="0.25">
      <c r="A349" s="2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</row>
    <row r="350" spans="1:31" ht="15.75" customHeight="1" x14ac:dyDescent="0.25">
      <c r="A350" s="2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</row>
    <row r="351" spans="1:31" ht="15.75" customHeight="1" x14ac:dyDescent="0.25">
      <c r="A351" s="2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</row>
    <row r="352" spans="1:31" ht="15.75" customHeight="1" x14ac:dyDescent="0.25">
      <c r="A352" s="2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</row>
    <row r="353" spans="1:31" ht="15.75" customHeight="1" x14ac:dyDescent="0.25">
      <c r="A353" s="2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</row>
    <row r="354" spans="1:31" ht="15.75" customHeight="1" x14ac:dyDescent="0.25">
      <c r="A354" s="2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</row>
    <row r="355" spans="1:31" ht="15.75" customHeight="1" x14ac:dyDescent="0.25">
      <c r="A355" s="2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</row>
    <row r="356" spans="1:31" ht="15.75" customHeight="1" x14ac:dyDescent="0.25">
      <c r="A356" s="2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</row>
    <row r="357" spans="1:31" ht="15.75" customHeight="1" x14ac:dyDescent="0.25">
      <c r="A357" s="2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</row>
    <row r="358" spans="1:31" ht="15.75" customHeight="1" x14ac:dyDescent="0.25">
      <c r="A358" s="2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</row>
    <row r="359" spans="1:31" ht="15.75" customHeight="1" x14ac:dyDescent="0.25">
      <c r="A359" s="2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</row>
    <row r="360" spans="1:31" ht="15.75" customHeight="1" x14ac:dyDescent="0.25">
      <c r="A360" s="2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</row>
    <row r="361" spans="1:31" ht="15.75" customHeight="1" x14ac:dyDescent="0.25">
      <c r="A361" s="2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</row>
    <row r="362" spans="1:31" ht="15.75" customHeight="1" x14ac:dyDescent="0.25">
      <c r="A362" s="2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</row>
    <row r="363" spans="1:31" ht="15.75" customHeight="1" x14ac:dyDescent="0.25">
      <c r="A363" s="2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</row>
    <row r="364" spans="1:31" ht="15.75" customHeight="1" x14ac:dyDescent="0.25">
      <c r="A364" s="2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</row>
    <row r="365" spans="1:31" ht="15.75" customHeight="1" x14ac:dyDescent="0.25">
      <c r="A365" s="2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</row>
    <row r="366" spans="1:31" ht="15.75" customHeight="1" x14ac:dyDescent="0.25">
      <c r="A366" s="2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</row>
    <row r="367" spans="1:31" ht="15.75" customHeight="1" x14ac:dyDescent="0.25">
      <c r="A367" s="2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</row>
    <row r="368" spans="1:31" ht="15.75" customHeight="1" x14ac:dyDescent="0.25">
      <c r="A368" s="2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</row>
    <row r="369" spans="1:31" ht="15.75" customHeight="1" x14ac:dyDescent="0.25">
      <c r="A369" s="2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</row>
    <row r="370" spans="1:31" ht="15.75" customHeight="1" x14ac:dyDescent="0.25">
      <c r="A370" s="2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</row>
    <row r="371" spans="1:31" ht="15.75" customHeight="1" x14ac:dyDescent="0.25">
      <c r="A371" s="2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</row>
    <row r="372" spans="1:31" ht="15.75" customHeight="1" x14ac:dyDescent="0.25">
      <c r="A372" s="2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</row>
    <row r="373" spans="1:31" ht="15.75" customHeight="1" x14ac:dyDescent="0.25">
      <c r="A373" s="2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</row>
    <row r="374" spans="1:31" ht="15.75" customHeight="1" x14ac:dyDescent="0.25">
      <c r="A374" s="2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</row>
    <row r="375" spans="1:31" ht="15.75" customHeight="1" x14ac:dyDescent="0.25">
      <c r="A375" s="2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</row>
    <row r="376" spans="1:31" ht="15.75" customHeight="1" x14ac:dyDescent="0.25">
      <c r="A376" s="2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</row>
    <row r="377" spans="1:31" ht="15.75" customHeight="1" x14ac:dyDescent="0.25">
      <c r="A377" s="2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</row>
    <row r="378" spans="1:31" ht="15.75" customHeight="1" x14ac:dyDescent="0.25">
      <c r="A378" s="2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</row>
    <row r="379" spans="1:31" ht="15.75" customHeight="1" x14ac:dyDescent="0.25">
      <c r="A379" s="2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</row>
    <row r="380" spans="1:31" ht="15.75" customHeight="1" x14ac:dyDescent="0.25">
      <c r="A380" s="2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</row>
    <row r="381" spans="1:31" ht="15.75" customHeight="1" x14ac:dyDescent="0.25">
      <c r="A381" s="2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</row>
    <row r="382" spans="1:31" ht="15.75" customHeight="1" x14ac:dyDescent="0.25">
      <c r="A382" s="2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</row>
    <row r="383" spans="1:31" ht="15.75" customHeight="1" x14ac:dyDescent="0.25">
      <c r="A383" s="2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</row>
    <row r="384" spans="1:31" ht="15.75" customHeight="1" x14ac:dyDescent="0.25">
      <c r="A384" s="2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</row>
    <row r="385" spans="1:31" ht="15.75" customHeight="1" x14ac:dyDescent="0.25">
      <c r="A385" s="2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</row>
    <row r="386" spans="1:31" ht="15.75" customHeight="1" x14ac:dyDescent="0.25">
      <c r="A386" s="2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</row>
    <row r="387" spans="1:31" ht="15.75" customHeight="1" x14ac:dyDescent="0.25">
      <c r="A387" s="2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</row>
    <row r="388" spans="1:31" ht="15.75" customHeight="1" x14ac:dyDescent="0.25">
      <c r="A388" s="2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</row>
    <row r="389" spans="1:31" ht="15.75" customHeight="1" x14ac:dyDescent="0.25">
      <c r="A389" s="2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</row>
    <row r="390" spans="1:31" ht="15.75" customHeight="1" x14ac:dyDescent="0.25">
      <c r="A390" s="2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</row>
    <row r="391" spans="1:31" ht="15.75" customHeight="1" x14ac:dyDescent="0.25">
      <c r="A391" s="2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</row>
    <row r="392" spans="1:31" ht="15.75" customHeight="1" x14ac:dyDescent="0.25">
      <c r="A392" s="2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</row>
    <row r="393" spans="1:31" ht="15.75" customHeight="1" x14ac:dyDescent="0.25">
      <c r="A393" s="2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</row>
    <row r="394" spans="1:31" ht="15.75" customHeight="1" x14ac:dyDescent="0.25">
      <c r="A394" s="2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</row>
    <row r="395" spans="1:31" ht="15.75" customHeight="1" x14ac:dyDescent="0.25">
      <c r="A395" s="2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</row>
    <row r="396" spans="1:31" ht="15.75" customHeight="1" x14ac:dyDescent="0.25">
      <c r="A396" s="2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</row>
    <row r="397" spans="1:31" ht="15.75" customHeight="1" x14ac:dyDescent="0.25">
      <c r="A397" s="2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</row>
    <row r="398" spans="1:31" ht="15.75" customHeight="1" x14ac:dyDescent="0.25">
      <c r="A398" s="2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</row>
    <row r="399" spans="1:31" ht="15.75" customHeight="1" x14ac:dyDescent="0.25">
      <c r="A399" s="2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</row>
    <row r="400" spans="1:31" ht="15.75" customHeight="1" x14ac:dyDescent="0.25">
      <c r="A400" s="2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</row>
    <row r="401" spans="1:31" ht="15.75" customHeight="1" x14ac:dyDescent="0.25">
      <c r="A401" s="2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</row>
    <row r="402" spans="1:31" ht="15.75" customHeight="1" x14ac:dyDescent="0.25">
      <c r="A402" s="2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</row>
    <row r="403" spans="1:31" ht="15.75" customHeight="1" x14ac:dyDescent="0.25">
      <c r="A403" s="2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</row>
    <row r="404" spans="1:31" ht="15.75" customHeight="1" x14ac:dyDescent="0.25">
      <c r="A404" s="2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</row>
    <row r="405" spans="1:31" ht="15.75" customHeight="1" x14ac:dyDescent="0.25">
      <c r="A405" s="2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</row>
    <row r="406" spans="1:31" ht="15.75" customHeight="1" x14ac:dyDescent="0.25">
      <c r="A406" s="2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</row>
    <row r="407" spans="1:31" ht="15.75" customHeight="1" x14ac:dyDescent="0.25">
      <c r="A407" s="2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</row>
    <row r="408" spans="1:31" ht="15.75" customHeight="1" x14ac:dyDescent="0.25">
      <c r="A408" s="2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</row>
    <row r="409" spans="1:31" ht="15.75" customHeight="1" x14ac:dyDescent="0.25">
      <c r="A409" s="2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</row>
    <row r="410" spans="1:31" ht="15.75" customHeight="1" x14ac:dyDescent="0.25">
      <c r="A410" s="2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</row>
    <row r="411" spans="1:31" ht="15.75" customHeight="1" x14ac:dyDescent="0.25">
      <c r="A411" s="2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</row>
    <row r="412" spans="1:31" ht="15.75" customHeight="1" x14ac:dyDescent="0.25">
      <c r="A412" s="2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</row>
    <row r="413" spans="1:31" ht="15.75" customHeight="1" x14ac:dyDescent="0.25">
      <c r="A413" s="2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</row>
    <row r="414" spans="1:31" ht="15.75" customHeight="1" x14ac:dyDescent="0.25">
      <c r="A414" s="2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</row>
    <row r="415" spans="1:31" ht="15.75" customHeight="1" x14ac:dyDescent="0.25">
      <c r="A415" s="2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</row>
    <row r="416" spans="1:31" ht="15.75" customHeight="1" x14ac:dyDescent="0.25">
      <c r="A416" s="2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</row>
    <row r="417" spans="1:31" ht="15.75" customHeight="1" x14ac:dyDescent="0.25">
      <c r="A417" s="2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</row>
    <row r="418" spans="1:31" ht="15.75" customHeight="1" x14ac:dyDescent="0.25">
      <c r="A418" s="2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</row>
    <row r="419" spans="1:31" ht="15.75" customHeight="1" x14ac:dyDescent="0.25">
      <c r="A419" s="2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</row>
    <row r="420" spans="1:31" ht="15.75" customHeight="1" x14ac:dyDescent="0.25">
      <c r="A420" s="2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</row>
    <row r="421" spans="1:31" ht="15.75" customHeight="1" x14ac:dyDescent="0.25">
      <c r="A421" s="2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</row>
    <row r="422" spans="1:31" ht="15.75" customHeight="1" x14ac:dyDescent="0.25">
      <c r="A422" s="2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</row>
    <row r="423" spans="1:31" ht="15.75" customHeight="1" x14ac:dyDescent="0.25">
      <c r="A423" s="2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</row>
    <row r="424" spans="1:31" ht="15.75" customHeight="1" x14ac:dyDescent="0.25">
      <c r="A424" s="2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</row>
    <row r="425" spans="1:31" ht="15.75" customHeight="1" x14ac:dyDescent="0.25">
      <c r="A425" s="2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</row>
    <row r="426" spans="1:31" ht="15.75" customHeight="1" x14ac:dyDescent="0.25">
      <c r="A426" s="2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</row>
    <row r="427" spans="1:31" ht="15.75" customHeight="1" x14ac:dyDescent="0.25">
      <c r="A427" s="2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</row>
    <row r="428" spans="1:31" ht="15.75" customHeight="1" x14ac:dyDescent="0.25">
      <c r="A428" s="2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</row>
    <row r="429" spans="1:31" ht="15.75" customHeight="1" x14ac:dyDescent="0.25">
      <c r="A429" s="2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</row>
    <row r="430" spans="1:31" ht="15.75" customHeight="1" x14ac:dyDescent="0.25">
      <c r="A430" s="2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</row>
    <row r="431" spans="1:31" ht="15.75" customHeight="1" x14ac:dyDescent="0.25">
      <c r="A431" s="2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</row>
    <row r="432" spans="1:31" ht="15.75" customHeight="1" x14ac:dyDescent="0.25">
      <c r="A432" s="2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</row>
    <row r="433" spans="1:31" ht="15.75" customHeight="1" x14ac:dyDescent="0.25">
      <c r="A433" s="2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</row>
    <row r="434" spans="1:31" ht="15.75" customHeight="1" x14ac:dyDescent="0.25">
      <c r="A434" s="2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</row>
    <row r="435" spans="1:31" ht="15.75" customHeight="1" x14ac:dyDescent="0.25">
      <c r="A435" s="2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</row>
    <row r="436" spans="1:31" ht="15.75" customHeight="1" x14ac:dyDescent="0.25">
      <c r="A436" s="2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</row>
    <row r="437" spans="1:31" ht="15.75" customHeight="1" x14ac:dyDescent="0.25">
      <c r="A437" s="2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</row>
    <row r="438" spans="1:31" ht="15.75" customHeight="1" x14ac:dyDescent="0.25">
      <c r="A438" s="2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</row>
    <row r="439" spans="1:31" ht="15.75" customHeight="1" x14ac:dyDescent="0.25">
      <c r="A439" s="2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</row>
    <row r="440" spans="1:31" ht="15.75" customHeight="1" x14ac:dyDescent="0.25">
      <c r="A440" s="2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</row>
    <row r="441" spans="1:31" ht="15.75" customHeight="1" x14ac:dyDescent="0.25">
      <c r="A441" s="2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</row>
    <row r="442" spans="1:31" ht="15.75" customHeight="1" x14ac:dyDescent="0.25">
      <c r="A442" s="2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</row>
    <row r="443" spans="1:31" ht="15.75" customHeight="1" x14ac:dyDescent="0.25">
      <c r="A443" s="2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</row>
    <row r="444" spans="1:31" ht="15.75" customHeight="1" x14ac:dyDescent="0.25">
      <c r="A444" s="2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</row>
    <row r="445" spans="1:31" ht="15.75" customHeight="1" x14ac:dyDescent="0.25">
      <c r="A445" s="2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</row>
    <row r="446" spans="1:31" ht="15.75" customHeight="1" x14ac:dyDescent="0.25">
      <c r="A446" s="2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</row>
    <row r="447" spans="1:31" ht="15.75" customHeight="1" x14ac:dyDescent="0.25">
      <c r="A447" s="2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</row>
    <row r="448" spans="1:31" ht="15.75" customHeight="1" x14ac:dyDescent="0.25">
      <c r="A448" s="2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</row>
    <row r="449" spans="1:31" ht="15.75" customHeight="1" x14ac:dyDescent="0.25">
      <c r="A449" s="2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</row>
    <row r="450" spans="1:31" ht="15.75" customHeight="1" x14ac:dyDescent="0.25">
      <c r="A450" s="2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</row>
    <row r="451" spans="1:31" ht="15.75" customHeight="1" x14ac:dyDescent="0.25">
      <c r="A451" s="2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</row>
    <row r="452" spans="1:31" ht="15.75" customHeight="1" x14ac:dyDescent="0.25">
      <c r="A452" s="2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</row>
    <row r="453" spans="1:31" ht="15.75" customHeight="1" x14ac:dyDescent="0.25">
      <c r="A453" s="2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</row>
    <row r="454" spans="1:31" ht="15.75" customHeight="1" x14ac:dyDescent="0.25">
      <c r="A454" s="2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</row>
    <row r="455" spans="1:31" ht="15.75" customHeight="1" x14ac:dyDescent="0.25">
      <c r="A455" s="2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</row>
    <row r="456" spans="1:31" ht="15.75" customHeight="1" x14ac:dyDescent="0.25">
      <c r="A456" s="2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</row>
    <row r="457" spans="1:31" ht="15.75" customHeight="1" x14ac:dyDescent="0.25">
      <c r="A457" s="2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</row>
    <row r="458" spans="1:31" ht="15.75" customHeight="1" x14ac:dyDescent="0.25">
      <c r="A458" s="2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</row>
    <row r="459" spans="1:31" ht="15.75" customHeight="1" x14ac:dyDescent="0.25">
      <c r="A459" s="2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</row>
    <row r="460" spans="1:31" ht="15.75" customHeight="1" x14ac:dyDescent="0.25">
      <c r="A460" s="2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</row>
    <row r="461" spans="1:31" ht="15.75" customHeight="1" x14ac:dyDescent="0.25">
      <c r="A461" s="2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</row>
    <row r="462" spans="1:31" ht="15.75" customHeight="1" x14ac:dyDescent="0.25">
      <c r="A462" s="2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</row>
    <row r="463" spans="1:31" ht="15.75" customHeight="1" x14ac:dyDescent="0.25">
      <c r="A463" s="2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</row>
    <row r="464" spans="1:31" ht="15.75" customHeight="1" x14ac:dyDescent="0.25">
      <c r="A464" s="2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</row>
    <row r="465" spans="1:31" ht="15.75" customHeight="1" x14ac:dyDescent="0.25">
      <c r="A465" s="2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</row>
    <row r="466" spans="1:31" ht="15.75" customHeight="1" x14ac:dyDescent="0.25">
      <c r="A466" s="2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</row>
    <row r="467" spans="1:31" ht="15.75" customHeight="1" x14ac:dyDescent="0.25">
      <c r="A467" s="2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</row>
    <row r="468" spans="1:31" ht="15.75" customHeight="1" x14ac:dyDescent="0.25">
      <c r="A468" s="2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</row>
    <row r="469" spans="1:31" ht="15.75" customHeight="1" x14ac:dyDescent="0.25">
      <c r="A469" s="2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</row>
    <row r="470" spans="1:31" ht="15.75" customHeight="1" x14ac:dyDescent="0.25">
      <c r="A470" s="2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</row>
    <row r="471" spans="1:31" ht="15.75" customHeight="1" x14ac:dyDescent="0.25">
      <c r="A471" s="2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</row>
    <row r="472" spans="1:31" ht="15.75" customHeight="1" x14ac:dyDescent="0.25">
      <c r="A472" s="2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</row>
    <row r="473" spans="1:31" ht="15.75" customHeight="1" x14ac:dyDescent="0.25">
      <c r="A473" s="2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</row>
    <row r="474" spans="1:31" ht="15.75" customHeight="1" x14ac:dyDescent="0.25">
      <c r="A474" s="2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</row>
    <row r="475" spans="1:31" ht="15.75" customHeight="1" x14ac:dyDescent="0.25">
      <c r="A475" s="2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</row>
    <row r="476" spans="1:31" ht="15.75" customHeight="1" x14ac:dyDescent="0.25">
      <c r="A476" s="2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</row>
    <row r="477" spans="1:31" ht="15.75" customHeight="1" x14ac:dyDescent="0.25">
      <c r="A477" s="2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</row>
    <row r="478" spans="1:31" ht="15.75" customHeight="1" x14ac:dyDescent="0.25">
      <c r="A478" s="2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</row>
    <row r="479" spans="1:31" ht="15.75" customHeight="1" x14ac:dyDescent="0.25">
      <c r="A479" s="2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</row>
    <row r="480" spans="1:31" ht="15.75" customHeight="1" x14ac:dyDescent="0.25">
      <c r="A480" s="2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</row>
    <row r="481" spans="1:31" ht="15.75" customHeight="1" x14ac:dyDescent="0.25">
      <c r="A481" s="2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</row>
    <row r="482" spans="1:31" ht="15.75" customHeight="1" x14ac:dyDescent="0.25">
      <c r="A482" s="2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</row>
    <row r="483" spans="1:31" ht="15.75" customHeight="1" x14ac:dyDescent="0.25">
      <c r="A483" s="2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</row>
    <row r="484" spans="1:31" ht="15.75" customHeight="1" x14ac:dyDescent="0.25">
      <c r="A484" s="2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</row>
    <row r="485" spans="1:31" ht="15.75" customHeight="1" x14ac:dyDescent="0.25">
      <c r="A485" s="2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</row>
    <row r="486" spans="1:31" ht="15.75" customHeight="1" x14ac:dyDescent="0.25">
      <c r="A486" s="2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</row>
    <row r="487" spans="1:31" ht="15.75" customHeight="1" x14ac:dyDescent="0.25">
      <c r="A487" s="2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</row>
    <row r="488" spans="1:31" ht="15.75" customHeight="1" x14ac:dyDescent="0.25">
      <c r="A488" s="2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</row>
    <row r="489" spans="1:31" ht="15.75" customHeight="1" x14ac:dyDescent="0.25">
      <c r="A489" s="2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</row>
    <row r="490" spans="1:31" ht="15.75" customHeight="1" x14ac:dyDescent="0.25">
      <c r="A490" s="2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</row>
    <row r="491" spans="1:31" ht="15.75" customHeight="1" x14ac:dyDescent="0.25">
      <c r="A491" s="2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</row>
    <row r="492" spans="1:31" ht="15.75" customHeight="1" x14ac:dyDescent="0.25">
      <c r="A492" s="2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</row>
    <row r="493" spans="1:31" ht="15.75" customHeight="1" x14ac:dyDescent="0.25">
      <c r="A493" s="2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</row>
    <row r="494" spans="1:31" ht="15.75" customHeight="1" x14ac:dyDescent="0.25">
      <c r="A494" s="2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</row>
    <row r="495" spans="1:31" ht="15.75" customHeight="1" x14ac:dyDescent="0.25">
      <c r="A495" s="2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</row>
    <row r="496" spans="1:31" ht="15.75" customHeight="1" x14ac:dyDescent="0.25">
      <c r="A496" s="2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</row>
    <row r="497" spans="1:31" ht="15.75" customHeight="1" x14ac:dyDescent="0.25">
      <c r="A497" s="2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</row>
    <row r="498" spans="1:31" ht="15.75" customHeight="1" x14ac:dyDescent="0.25">
      <c r="A498" s="2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</row>
    <row r="499" spans="1:31" ht="15.75" customHeight="1" x14ac:dyDescent="0.25">
      <c r="A499" s="2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</row>
    <row r="500" spans="1:31" ht="15.75" customHeight="1" x14ac:dyDescent="0.25">
      <c r="A500" s="2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</row>
    <row r="501" spans="1:31" ht="15.75" customHeight="1" x14ac:dyDescent="0.25">
      <c r="A501" s="2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</row>
    <row r="502" spans="1:31" ht="15.75" customHeight="1" x14ac:dyDescent="0.25">
      <c r="A502" s="2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</row>
    <row r="503" spans="1:31" ht="15.75" customHeight="1" x14ac:dyDescent="0.25">
      <c r="A503" s="2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</row>
    <row r="504" spans="1:31" ht="15.75" customHeight="1" x14ac:dyDescent="0.25">
      <c r="A504" s="2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</row>
    <row r="505" spans="1:31" ht="15.75" customHeight="1" x14ac:dyDescent="0.25">
      <c r="A505" s="2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</row>
    <row r="506" spans="1:31" ht="15.75" customHeight="1" x14ac:dyDescent="0.25">
      <c r="A506" s="2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</row>
    <row r="507" spans="1:31" ht="15.75" customHeight="1" x14ac:dyDescent="0.25">
      <c r="A507" s="2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</row>
    <row r="508" spans="1:31" ht="15.75" customHeight="1" x14ac:dyDescent="0.25">
      <c r="A508" s="2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</row>
    <row r="509" spans="1:31" ht="15.75" customHeight="1" x14ac:dyDescent="0.25">
      <c r="A509" s="2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</row>
    <row r="510" spans="1:31" ht="15.75" customHeight="1" x14ac:dyDescent="0.25">
      <c r="A510" s="2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</row>
    <row r="511" spans="1:31" ht="15.75" customHeight="1" x14ac:dyDescent="0.25">
      <c r="A511" s="2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</row>
    <row r="512" spans="1:31" ht="15.75" customHeight="1" x14ac:dyDescent="0.25">
      <c r="A512" s="2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</row>
    <row r="513" spans="1:31" ht="15.75" customHeight="1" x14ac:dyDescent="0.25">
      <c r="A513" s="2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</row>
    <row r="514" spans="1:31" ht="15.75" customHeight="1" x14ac:dyDescent="0.25">
      <c r="A514" s="2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</row>
    <row r="515" spans="1:31" ht="15.75" customHeight="1" x14ac:dyDescent="0.25">
      <c r="A515" s="2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</row>
    <row r="516" spans="1:31" ht="15.75" customHeight="1" x14ac:dyDescent="0.25">
      <c r="A516" s="2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</row>
    <row r="517" spans="1:31" ht="15.75" customHeight="1" x14ac:dyDescent="0.25">
      <c r="A517" s="2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</row>
    <row r="518" spans="1:31" ht="15.75" customHeight="1" x14ac:dyDescent="0.25">
      <c r="A518" s="2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</row>
    <row r="519" spans="1:31" ht="15.75" customHeight="1" x14ac:dyDescent="0.25">
      <c r="A519" s="2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</row>
    <row r="520" spans="1:31" ht="15.75" customHeight="1" x14ac:dyDescent="0.25">
      <c r="A520" s="2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</row>
    <row r="521" spans="1:31" ht="15.75" customHeight="1" x14ac:dyDescent="0.25">
      <c r="A521" s="2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</row>
    <row r="522" spans="1:31" ht="15.75" customHeight="1" x14ac:dyDescent="0.25">
      <c r="A522" s="2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</row>
    <row r="523" spans="1:31" ht="15.75" customHeight="1" x14ac:dyDescent="0.25">
      <c r="A523" s="2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</row>
    <row r="524" spans="1:31" ht="15.75" customHeight="1" x14ac:dyDescent="0.25">
      <c r="A524" s="2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</row>
    <row r="525" spans="1:31" ht="15.75" customHeight="1" x14ac:dyDescent="0.25">
      <c r="A525" s="2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</row>
    <row r="526" spans="1:31" ht="15.75" customHeight="1" x14ac:dyDescent="0.25">
      <c r="A526" s="2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</row>
    <row r="527" spans="1:31" ht="15.75" customHeight="1" x14ac:dyDescent="0.25">
      <c r="A527" s="2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</row>
    <row r="528" spans="1:31" ht="15.75" customHeight="1" x14ac:dyDescent="0.25">
      <c r="A528" s="2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</row>
    <row r="529" spans="1:31" ht="15.75" customHeight="1" x14ac:dyDescent="0.25">
      <c r="A529" s="2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</row>
    <row r="530" spans="1:31" ht="15.75" customHeight="1" x14ac:dyDescent="0.25">
      <c r="A530" s="2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</row>
    <row r="531" spans="1:31" ht="15.75" customHeight="1" x14ac:dyDescent="0.25">
      <c r="A531" s="2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</row>
    <row r="532" spans="1:31" ht="15.75" customHeight="1" x14ac:dyDescent="0.25">
      <c r="A532" s="2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</row>
    <row r="533" spans="1:31" ht="15.75" customHeight="1" x14ac:dyDescent="0.25">
      <c r="A533" s="2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</row>
    <row r="534" spans="1:31" ht="15.75" customHeight="1" x14ac:dyDescent="0.25">
      <c r="A534" s="2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</row>
    <row r="535" spans="1:31" ht="15.75" customHeight="1" x14ac:dyDescent="0.25">
      <c r="A535" s="2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</row>
    <row r="536" spans="1:31" ht="15.75" customHeight="1" x14ac:dyDescent="0.25">
      <c r="A536" s="2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</row>
    <row r="537" spans="1:31" ht="15.75" customHeight="1" x14ac:dyDescent="0.25">
      <c r="A537" s="2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</row>
    <row r="538" spans="1:31" ht="15.75" customHeight="1" x14ac:dyDescent="0.25">
      <c r="A538" s="2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</row>
    <row r="539" spans="1:31" ht="15.75" customHeight="1" x14ac:dyDescent="0.25">
      <c r="A539" s="2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</row>
    <row r="540" spans="1:31" ht="15.75" customHeight="1" x14ac:dyDescent="0.25">
      <c r="A540" s="2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</row>
    <row r="541" spans="1:31" ht="15.75" customHeight="1" x14ac:dyDescent="0.25">
      <c r="A541" s="2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</row>
    <row r="542" spans="1:31" ht="15.75" customHeight="1" x14ac:dyDescent="0.25">
      <c r="A542" s="2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</row>
    <row r="543" spans="1:31" ht="15.75" customHeight="1" x14ac:dyDescent="0.25">
      <c r="A543" s="2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</row>
    <row r="544" spans="1:31" ht="15.75" customHeight="1" x14ac:dyDescent="0.25">
      <c r="A544" s="2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</row>
    <row r="545" spans="1:31" ht="15.75" customHeight="1" x14ac:dyDescent="0.25">
      <c r="A545" s="2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</row>
    <row r="546" spans="1:31" ht="15.75" customHeight="1" x14ac:dyDescent="0.25">
      <c r="A546" s="2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</row>
    <row r="547" spans="1:31" ht="15.75" customHeight="1" x14ac:dyDescent="0.25">
      <c r="A547" s="2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</row>
    <row r="548" spans="1:31" ht="15.75" customHeight="1" x14ac:dyDescent="0.25">
      <c r="A548" s="2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</row>
    <row r="549" spans="1:31" ht="15.75" customHeight="1" x14ac:dyDescent="0.25">
      <c r="A549" s="2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</row>
    <row r="550" spans="1:31" ht="15.75" customHeight="1" x14ac:dyDescent="0.25">
      <c r="A550" s="2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</row>
    <row r="551" spans="1:31" ht="15.75" customHeight="1" x14ac:dyDescent="0.25">
      <c r="A551" s="2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</row>
    <row r="552" spans="1:31" ht="15.75" customHeight="1" x14ac:dyDescent="0.25">
      <c r="A552" s="2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</row>
    <row r="553" spans="1:31" ht="15.75" customHeight="1" x14ac:dyDescent="0.25">
      <c r="A553" s="2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</row>
    <row r="554" spans="1:31" ht="15.75" customHeight="1" x14ac:dyDescent="0.25">
      <c r="A554" s="2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</row>
    <row r="555" spans="1:31" ht="15.75" customHeight="1" x14ac:dyDescent="0.25">
      <c r="A555" s="2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</row>
    <row r="556" spans="1:31" ht="15.75" customHeight="1" x14ac:dyDescent="0.25">
      <c r="A556" s="2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</row>
    <row r="557" spans="1:31" ht="15.75" customHeight="1" x14ac:dyDescent="0.25">
      <c r="A557" s="2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</row>
    <row r="558" spans="1:31" ht="15.75" customHeight="1" x14ac:dyDescent="0.25">
      <c r="A558" s="2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</row>
    <row r="559" spans="1:31" ht="15.75" customHeight="1" x14ac:dyDescent="0.25">
      <c r="A559" s="2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</row>
    <row r="560" spans="1:31" ht="15.75" customHeight="1" x14ac:dyDescent="0.25">
      <c r="A560" s="2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</row>
    <row r="561" spans="1:31" ht="15.75" customHeight="1" x14ac:dyDescent="0.25">
      <c r="A561" s="2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</row>
    <row r="562" spans="1:31" ht="15.75" customHeight="1" x14ac:dyDescent="0.25">
      <c r="A562" s="2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</row>
    <row r="563" spans="1:31" ht="15.75" customHeight="1" x14ac:dyDescent="0.25">
      <c r="A563" s="2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</row>
    <row r="564" spans="1:31" ht="15.75" customHeight="1" x14ac:dyDescent="0.25">
      <c r="A564" s="2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</row>
    <row r="565" spans="1:31" ht="15.75" customHeight="1" x14ac:dyDescent="0.25">
      <c r="A565" s="2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</row>
    <row r="566" spans="1:31" ht="15.75" customHeight="1" x14ac:dyDescent="0.25">
      <c r="A566" s="2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</row>
    <row r="567" spans="1:31" ht="15.75" customHeight="1" x14ac:dyDescent="0.25">
      <c r="A567" s="2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</row>
    <row r="568" spans="1:31" ht="15.75" customHeight="1" x14ac:dyDescent="0.25">
      <c r="A568" s="2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</row>
    <row r="569" spans="1:31" ht="15.75" customHeight="1" x14ac:dyDescent="0.25">
      <c r="A569" s="2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</row>
    <row r="570" spans="1:31" ht="15.75" customHeight="1" x14ac:dyDescent="0.25">
      <c r="A570" s="2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</row>
    <row r="571" spans="1:31" ht="15.75" customHeight="1" x14ac:dyDescent="0.25">
      <c r="A571" s="2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</row>
    <row r="572" spans="1:31" ht="15.75" customHeight="1" x14ac:dyDescent="0.25">
      <c r="A572" s="2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</row>
    <row r="573" spans="1:31" ht="15.75" customHeight="1" x14ac:dyDescent="0.25">
      <c r="A573" s="2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</row>
    <row r="574" spans="1:31" ht="15.75" customHeight="1" x14ac:dyDescent="0.25">
      <c r="A574" s="2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</row>
    <row r="575" spans="1:31" ht="15.75" customHeight="1" x14ac:dyDescent="0.25">
      <c r="A575" s="2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</row>
    <row r="576" spans="1:31" ht="15.75" customHeight="1" x14ac:dyDescent="0.25">
      <c r="A576" s="2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</row>
    <row r="577" spans="1:31" ht="15.75" customHeight="1" x14ac:dyDescent="0.25">
      <c r="A577" s="2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</row>
    <row r="578" spans="1:31" ht="15.75" customHeight="1" x14ac:dyDescent="0.25">
      <c r="A578" s="2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</row>
    <row r="579" spans="1:31" ht="15.75" customHeight="1" x14ac:dyDescent="0.25">
      <c r="A579" s="2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</row>
    <row r="580" spans="1:31" ht="15.75" customHeight="1" x14ac:dyDescent="0.25">
      <c r="A580" s="2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</row>
    <row r="581" spans="1:31" ht="15.75" customHeight="1" x14ac:dyDescent="0.25">
      <c r="A581" s="2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</row>
    <row r="582" spans="1:31" ht="15.75" customHeight="1" x14ac:dyDescent="0.25">
      <c r="A582" s="2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</row>
    <row r="583" spans="1:31" ht="15.75" customHeight="1" x14ac:dyDescent="0.25">
      <c r="A583" s="2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</row>
    <row r="584" spans="1:31" ht="15.75" customHeight="1" x14ac:dyDescent="0.25">
      <c r="A584" s="2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</row>
    <row r="585" spans="1:31" ht="15.75" customHeight="1" x14ac:dyDescent="0.25">
      <c r="A585" s="2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</row>
    <row r="586" spans="1:31" ht="15.75" customHeight="1" x14ac:dyDescent="0.25">
      <c r="A586" s="2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</row>
    <row r="587" spans="1:31" ht="15.75" customHeight="1" x14ac:dyDescent="0.25">
      <c r="A587" s="2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</row>
    <row r="588" spans="1:31" ht="15.75" customHeight="1" x14ac:dyDescent="0.25">
      <c r="A588" s="2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</row>
    <row r="589" spans="1:31" ht="15.75" customHeight="1" x14ac:dyDescent="0.25">
      <c r="A589" s="2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</row>
    <row r="590" spans="1:31" ht="15.75" customHeight="1" x14ac:dyDescent="0.25">
      <c r="A590" s="2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</row>
    <row r="591" spans="1:31" ht="15.75" customHeight="1" x14ac:dyDescent="0.25">
      <c r="A591" s="2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</row>
    <row r="592" spans="1:31" ht="15.75" customHeight="1" x14ac:dyDescent="0.25">
      <c r="A592" s="2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</row>
    <row r="593" spans="1:31" ht="15.75" customHeight="1" x14ac:dyDescent="0.25">
      <c r="A593" s="2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</row>
    <row r="594" spans="1:31" ht="15.75" customHeight="1" x14ac:dyDescent="0.25">
      <c r="A594" s="2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</row>
    <row r="595" spans="1:31" ht="15.75" customHeight="1" x14ac:dyDescent="0.25">
      <c r="A595" s="2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</row>
    <row r="596" spans="1:31" ht="15.75" customHeight="1" x14ac:dyDescent="0.25">
      <c r="A596" s="2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</row>
    <row r="597" spans="1:31" ht="15.75" customHeight="1" x14ac:dyDescent="0.25">
      <c r="A597" s="2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</row>
    <row r="598" spans="1:31" ht="15.75" customHeight="1" x14ac:dyDescent="0.25">
      <c r="A598" s="2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</row>
    <row r="599" spans="1:31" ht="15.75" customHeight="1" x14ac:dyDescent="0.25">
      <c r="A599" s="2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</row>
    <row r="600" spans="1:31" ht="15.75" customHeight="1" x14ac:dyDescent="0.25">
      <c r="A600" s="2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</row>
    <row r="601" spans="1:31" ht="15.75" customHeight="1" x14ac:dyDescent="0.25">
      <c r="A601" s="2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</row>
    <row r="602" spans="1:31" ht="15.75" customHeight="1" x14ac:dyDescent="0.25">
      <c r="A602" s="2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</row>
    <row r="603" spans="1:31" ht="15.75" customHeight="1" x14ac:dyDescent="0.25">
      <c r="A603" s="2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</row>
    <row r="604" spans="1:31" ht="15.75" customHeight="1" x14ac:dyDescent="0.25">
      <c r="A604" s="2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</row>
    <row r="605" spans="1:31" ht="15.75" customHeight="1" x14ac:dyDescent="0.25">
      <c r="A605" s="2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</row>
    <row r="606" spans="1:31" ht="15.75" customHeight="1" x14ac:dyDescent="0.25">
      <c r="A606" s="2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</row>
    <row r="607" spans="1:31" ht="15.75" customHeight="1" x14ac:dyDescent="0.25">
      <c r="A607" s="2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</row>
    <row r="608" spans="1:31" ht="15.75" customHeight="1" x14ac:dyDescent="0.25">
      <c r="A608" s="2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</row>
    <row r="609" spans="1:31" ht="15.75" customHeight="1" x14ac:dyDescent="0.25">
      <c r="A609" s="2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</row>
    <row r="610" spans="1:31" ht="15.75" customHeight="1" x14ac:dyDescent="0.25">
      <c r="A610" s="2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</row>
    <row r="611" spans="1:31" ht="15.75" customHeight="1" x14ac:dyDescent="0.25">
      <c r="A611" s="2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</row>
    <row r="612" spans="1:31" ht="15.75" customHeight="1" x14ac:dyDescent="0.25">
      <c r="A612" s="2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</row>
    <row r="613" spans="1:31" ht="15.75" customHeight="1" x14ac:dyDescent="0.25">
      <c r="A613" s="2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</row>
    <row r="614" spans="1:31" ht="15.75" customHeight="1" x14ac:dyDescent="0.25">
      <c r="A614" s="2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</row>
    <row r="615" spans="1:31" ht="15.75" customHeight="1" x14ac:dyDescent="0.25">
      <c r="A615" s="2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</row>
    <row r="616" spans="1:31" ht="15.75" customHeight="1" x14ac:dyDescent="0.25">
      <c r="A616" s="2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</row>
    <row r="617" spans="1:31" ht="15.75" customHeight="1" x14ac:dyDescent="0.25">
      <c r="A617" s="2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</row>
    <row r="618" spans="1:31" ht="15.75" customHeight="1" x14ac:dyDescent="0.25">
      <c r="A618" s="2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</row>
    <row r="619" spans="1:31" ht="15.75" customHeight="1" x14ac:dyDescent="0.25">
      <c r="A619" s="2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</row>
    <row r="620" spans="1:31" ht="15.75" customHeight="1" x14ac:dyDescent="0.25">
      <c r="A620" s="2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</row>
    <row r="621" spans="1:31" ht="15.75" customHeight="1" x14ac:dyDescent="0.25">
      <c r="A621" s="2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</row>
    <row r="622" spans="1:31" ht="15.75" customHeight="1" x14ac:dyDescent="0.25">
      <c r="A622" s="2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</row>
    <row r="623" spans="1:31" ht="15.75" customHeight="1" x14ac:dyDescent="0.25">
      <c r="A623" s="2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</row>
    <row r="624" spans="1:31" ht="15.75" customHeight="1" x14ac:dyDescent="0.25">
      <c r="A624" s="2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</row>
    <row r="625" spans="1:31" ht="15.75" customHeight="1" x14ac:dyDescent="0.25">
      <c r="A625" s="2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</row>
    <row r="626" spans="1:31" ht="15.75" customHeight="1" x14ac:dyDescent="0.25">
      <c r="A626" s="2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</row>
    <row r="627" spans="1:31" ht="15.75" customHeight="1" x14ac:dyDescent="0.25">
      <c r="A627" s="2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</row>
    <row r="628" spans="1:31" ht="15.75" customHeight="1" x14ac:dyDescent="0.25">
      <c r="A628" s="2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</row>
    <row r="629" spans="1:31" ht="15.75" customHeight="1" x14ac:dyDescent="0.25">
      <c r="A629" s="2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</row>
    <row r="630" spans="1:31" ht="15.75" customHeight="1" x14ac:dyDescent="0.25">
      <c r="A630" s="2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</row>
    <row r="631" spans="1:31" ht="15.75" customHeight="1" x14ac:dyDescent="0.25">
      <c r="A631" s="2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</row>
    <row r="632" spans="1:31" ht="15.75" customHeight="1" x14ac:dyDescent="0.25">
      <c r="A632" s="2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</row>
    <row r="633" spans="1:31" ht="15.75" customHeight="1" x14ac:dyDescent="0.25">
      <c r="A633" s="2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</row>
    <row r="634" spans="1:31" ht="15.75" customHeight="1" x14ac:dyDescent="0.25">
      <c r="A634" s="2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</row>
    <row r="635" spans="1:31" ht="15.75" customHeight="1" x14ac:dyDescent="0.25">
      <c r="A635" s="2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</row>
    <row r="636" spans="1:31" ht="15.75" customHeight="1" x14ac:dyDescent="0.25">
      <c r="A636" s="2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</row>
    <row r="637" spans="1:31" ht="15.75" customHeight="1" x14ac:dyDescent="0.25">
      <c r="A637" s="2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</row>
    <row r="638" spans="1:31" ht="15.75" customHeight="1" x14ac:dyDescent="0.25">
      <c r="A638" s="2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</row>
    <row r="639" spans="1:31" ht="15.75" customHeight="1" x14ac:dyDescent="0.25">
      <c r="A639" s="2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</row>
    <row r="640" spans="1:31" ht="15.75" customHeight="1" x14ac:dyDescent="0.25">
      <c r="A640" s="2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</row>
    <row r="641" spans="1:31" ht="15.75" customHeight="1" x14ac:dyDescent="0.25">
      <c r="A641" s="2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</row>
    <row r="642" spans="1:31" ht="15.75" customHeight="1" x14ac:dyDescent="0.25">
      <c r="A642" s="2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</row>
    <row r="643" spans="1:31" ht="15.75" customHeight="1" x14ac:dyDescent="0.25">
      <c r="A643" s="2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</row>
    <row r="644" spans="1:31" ht="15.75" customHeight="1" x14ac:dyDescent="0.25">
      <c r="A644" s="2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</row>
    <row r="645" spans="1:31" ht="15.75" customHeight="1" x14ac:dyDescent="0.25">
      <c r="A645" s="2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</row>
    <row r="646" spans="1:31" ht="15.75" customHeight="1" x14ac:dyDescent="0.25">
      <c r="A646" s="2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</row>
    <row r="647" spans="1:31" ht="15.75" customHeight="1" x14ac:dyDescent="0.25">
      <c r="A647" s="2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</row>
    <row r="648" spans="1:31" ht="15.75" customHeight="1" x14ac:dyDescent="0.25">
      <c r="A648" s="2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</row>
    <row r="649" spans="1:31" ht="15.75" customHeight="1" x14ac:dyDescent="0.25">
      <c r="A649" s="2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</row>
    <row r="650" spans="1:31" ht="15.75" customHeight="1" x14ac:dyDescent="0.25">
      <c r="A650" s="2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</row>
    <row r="651" spans="1:31" ht="15.75" customHeight="1" x14ac:dyDescent="0.25">
      <c r="A651" s="2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</row>
    <row r="652" spans="1:31" ht="15.75" customHeight="1" x14ac:dyDescent="0.25">
      <c r="A652" s="2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</row>
    <row r="653" spans="1:31" ht="15.75" customHeight="1" x14ac:dyDescent="0.25">
      <c r="A653" s="2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</row>
    <row r="654" spans="1:31" ht="15.75" customHeight="1" x14ac:dyDescent="0.25">
      <c r="A654" s="2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</row>
    <row r="655" spans="1:31" ht="15.75" customHeight="1" x14ac:dyDescent="0.25">
      <c r="A655" s="2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</row>
    <row r="656" spans="1:31" ht="15.75" customHeight="1" x14ac:dyDescent="0.25">
      <c r="A656" s="2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</row>
    <row r="657" spans="1:31" ht="15.75" customHeight="1" x14ac:dyDescent="0.25">
      <c r="A657" s="2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</row>
    <row r="658" spans="1:31" ht="15.75" customHeight="1" x14ac:dyDescent="0.25">
      <c r="A658" s="2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</row>
    <row r="659" spans="1:31" ht="15.75" customHeight="1" x14ac:dyDescent="0.25">
      <c r="A659" s="2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</row>
    <row r="660" spans="1:31" ht="15.75" customHeight="1" x14ac:dyDescent="0.25">
      <c r="A660" s="2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</row>
    <row r="661" spans="1:31" ht="15.75" customHeight="1" x14ac:dyDescent="0.25">
      <c r="A661" s="2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</row>
    <row r="662" spans="1:31" ht="15.75" customHeight="1" x14ac:dyDescent="0.25">
      <c r="A662" s="2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</row>
    <row r="663" spans="1:31" ht="15.75" customHeight="1" x14ac:dyDescent="0.25">
      <c r="A663" s="2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</row>
    <row r="664" spans="1:31" ht="15.75" customHeight="1" x14ac:dyDescent="0.25">
      <c r="A664" s="2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</row>
    <row r="665" spans="1:31" ht="15.75" customHeight="1" x14ac:dyDescent="0.25">
      <c r="A665" s="2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</row>
    <row r="666" spans="1:31" ht="15.75" customHeight="1" x14ac:dyDescent="0.25">
      <c r="A666" s="2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</row>
    <row r="667" spans="1:31" ht="15.75" customHeight="1" x14ac:dyDescent="0.25">
      <c r="A667" s="2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</row>
    <row r="668" spans="1:31" ht="15.75" customHeight="1" x14ac:dyDescent="0.25">
      <c r="A668" s="2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</row>
    <row r="669" spans="1:31" ht="15.75" customHeight="1" x14ac:dyDescent="0.25">
      <c r="A669" s="2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</row>
    <row r="670" spans="1:31" ht="15.75" customHeight="1" x14ac:dyDescent="0.25">
      <c r="A670" s="2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</row>
    <row r="671" spans="1:31" ht="15.75" customHeight="1" x14ac:dyDescent="0.25">
      <c r="A671" s="2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</row>
    <row r="672" spans="1:31" ht="15.75" customHeight="1" x14ac:dyDescent="0.25">
      <c r="A672" s="2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</row>
    <row r="673" spans="1:31" ht="15.75" customHeight="1" x14ac:dyDescent="0.25">
      <c r="A673" s="2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</row>
    <row r="674" spans="1:31" ht="15.75" customHeight="1" x14ac:dyDescent="0.25">
      <c r="A674" s="2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</row>
    <row r="675" spans="1:31" ht="15.75" customHeight="1" x14ac:dyDescent="0.25">
      <c r="A675" s="2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</row>
    <row r="676" spans="1:31" ht="15.75" customHeight="1" x14ac:dyDescent="0.25">
      <c r="A676" s="2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</row>
    <row r="677" spans="1:31" ht="15.75" customHeight="1" x14ac:dyDescent="0.25">
      <c r="A677" s="2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</row>
    <row r="678" spans="1:31" ht="15.75" customHeight="1" x14ac:dyDescent="0.25">
      <c r="A678" s="2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</row>
    <row r="679" spans="1:31" ht="15.75" customHeight="1" x14ac:dyDescent="0.25">
      <c r="A679" s="2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</row>
    <row r="680" spans="1:31" ht="15.75" customHeight="1" x14ac:dyDescent="0.25">
      <c r="A680" s="2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</row>
    <row r="681" spans="1:31" ht="15.75" customHeight="1" x14ac:dyDescent="0.25">
      <c r="A681" s="2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</row>
    <row r="682" spans="1:31" ht="15.75" customHeight="1" x14ac:dyDescent="0.25">
      <c r="A682" s="2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</row>
    <row r="683" spans="1:31" ht="15.75" customHeight="1" x14ac:dyDescent="0.25">
      <c r="A683" s="2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</row>
    <row r="684" spans="1:31" ht="15.75" customHeight="1" x14ac:dyDescent="0.25">
      <c r="A684" s="2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</row>
    <row r="685" spans="1:31" ht="15.75" customHeight="1" x14ac:dyDescent="0.25">
      <c r="A685" s="2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</row>
    <row r="686" spans="1:31" ht="15.75" customHeight="1" x14ac:dyDescent="0.25">
      <c r="A686" s="2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</row>
    <row r="687" spans="1:31" ht="15.75" customHeight="1" x14ac:dyDescent="0.25">
      <c r="A687" s="2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</row>
    <row r="688" spans="1:31" ht="15.75" customHeight="1" x14ac:dyDescent="0.25">
      <c r="A688" s="2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</row>
    <row r="689" spans="1:31" ht="15.75" customHeight="1" x14ac:dyDescent="0.25">
      <c r="A689" s="2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</row>
    <row r="690" spans="1:31" ht="15.75" customHeight="1" x14ac:dyDescent="0.25">
      <c r="A690" s="2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</row>
    <row r="691" spans="1:31" ht="15.75" customHeight="1" x14ac:dyDescent="0.25">
      <c r="A691" s="2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</row>
    <row r="692" spans="1:31" ht="15.75" customHeight="1" x14ac:dyDescent="0.25">
      <c r="A692" s="2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</row>
    <row r="693" spans="1:31" ht="15.75" customHeight="1" x14ac:dyDescent="0.25">
      <c r="A693" s="2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</row>
    <row r="694" spans="1:31" ht="15.75" customHeight="1" x14ac:dyDescent="0.25">
      <c r="A694" s="2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</row>
    <row r="695" spans="1:31" ht="15.75" customHeight="1" x14ac:dyDescent="0.25">
      <c r="A695" s="2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</row>
    <row r="696" spans="1:31" ht="15.75" customHeight="1" x14ac:dyDescent="0.25">
      <c r="A696" s="2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</row>
    <row r="697" spans="1:31" ht="15.75" customHeight="1" x14ac:dyDescent="0.25">
      <c r="A697" s="2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</row>
    <row r="698" spans="1:31" ht="15.75" customHeight="1" x14ac:dyDescent="0.25">
      <c r="A698" s="2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</row>
    <row r="699" spans="1:31" ht="15.75" customHeight="1" x14ac:dyDescent="0.25">
      <c r="A699" s="2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</row>
    <row r="700" spans="1:31" ht="15.75" customHeight="1" x14ac:dyDescent="0.25">
      <c r="A700" s="2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</row>
    <row r="701" spans="1:31" ht="15.75" customHeight="1" x14ac:dyDescent="0.25">
      <c r="A701" s="2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</row>
    <row r="702" spans="1:31" ht="15.75" customHeight="1" x14ac:dyDescent="0.25">
      <c r="A702" s="2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</row>
    <row r="703" spans="1:31" ht="15.75" customHeight="1" x14ac:dyDescent="0.25">
      <c r="A703" s="2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</row>
    <row r="704" spans="1:31" ht="15.75" customHeight="1" x14ac:dyDescent="0.25">
      <c r="A704" s="2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</row>
    <row r="705" spans="1:31" ht="15.75" customHeight="1" x14ac:dyDescent="0.25">
      <c r="A705" s="2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</row>
    <row r="706" spans="1:31" ht="15.75" customHeight="1" x14ac:dyDescent="0.25">
      <c r="A706" s="2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</row>
    <row r="707" spans="1:31" ht="15.75" customHeight="1" x14ac:dyDescent="0.25">
      <c r="A707" s="2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</row>
    <row r="708" spans="1:31" ht="15.75" customHeight="1" x14ac:dyDescent="0.25">
      <c r="A708" s="2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</row>
    <row r="709" spans="1:31" ht="15.75" customHeight="1" x14ac:dyDescent="0.25">
      <c r="A709" s="2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</row>
    <row r="710" spans="1:31" ht="15.75" customHeight="1" x14ac:dyDescent="0.25">
      <c r="A710" s="2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</row>
    <row r="711" spans="1:31" ht="15.75" customHeight="1" x14ac:dyDescent="0.25">
      <c r="A711" s="2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</row>
    <row r="712" spans="1:31" ht="15.75" customHeight="1" x14ac:dyDescent="0.25">
      <c r="A712" s="2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</row>
    <row r="713" spans="1:31" ht="15.75" customHeight="1" x14ac:dyDescent="0.25">
      <c r="A713" s="2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</row>
    <row r="714" spans="1:31" ht="15.75" customHeight="1" x14ac:dyDescent="0.25">
      <c r="A714" s="2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</row>
    <row r="715" spans="1:31" ht="15.75" customHeight="1" x14ac:dyDescent="0.25">
      <c r="A715" s="2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</row>
    <row r="716" spans="1:31" ht="15.75" customHeight="1" x14ac:dyDescent="0.25">
      <c r="A716" s="2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</row>
    <row r="717" spans="1:31" ht="15.75" customHeight="1" x14ac:dyDescent="0.25">
      <c r="A717" s="2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</row>
    <row r="718" spans="1:31" ht="15.75" customHeight="1" x14ac:dyDescent="0.25">
      <c r="A718" s="2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</row>
    <row r="719" spans="1:31" ht="15.75" customHeight="1" x14ac:dyDescent="0.25">
      <c r="A719" s="2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</row>
    <row r="720" spans="1:31" ht="15.75" customHeight="1" x14ac:dyDescent="0.25">
      <c r="A720" s="2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</row>
    <row r="721" spans="1:31" ht="15.75" customHeight="1" x14ac:dyDescent="0.25">
      <c r="A721" s="2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</row>
    <row r="722" spans="1:31" ht="15.75" customHeight="1" x14ac:dyDescent="0.25">
      <c r="A722" s="2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</row>
    <row r="723" spans="1:31" ht="15.75" customHeight="1" x14ac:dyDescent="0.25">
      <c r="A723" s="2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</row>
    <row r="724" spans="1:31" ht="15.75" customHeight="1" x14ac:dyDescent="0.25">
      <c r="A724" s="2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</row>
    <row r="725" spans="1:31" ht="15.75" customHeight="1" x14ac:dyDescent="0.25">
      <c r="A725" s="2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</row>
    <row r="726" spans="1:31" ht="15.75" customHeight="1" x14ac:dyDescent="0.25">
      <c r="A726" s="2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</row>
    <row r="727" spans="1:31" ht="15.75" customHeight="1" x14ac:dyDescent="0.25">
      <c r="A727" s="2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</row>
    <row r="728" spans="1:31" ht="15.75" customHeight="1" x14ac:dyDescent="0.25">
      <c r="A728" s="2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</row>
    <row r="729" spans="1:31" ht="15.75" customHeight="1" x14ac:dyDescent="0.25">
      <c r="A729" s="2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</row>
    <row r="730" spans="1:31" ht="15.75" customHeight="1" x14ac:dyDescent="0.25">
      <c r="A730" s="2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</row>
    <row r="731" spans="1:31" ht="15.75" customHeight="1" x14ac:dyDescent="0.25">
      <c r="A731" s="2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</row>
    <row r="732" spans="1:31" ht="15.75" customHeight="1" x14ac:dyDescent="0.25">
      <c r="A732" s="2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</row>
    <row r="733" spans="1:31" ht="15.75" customHeight="1" x14ac:dyDescent="0.25">
      <c r="A733" s="2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</row>
    <row r="734" spans="1:31" ht="15.75" customHeight="1" x14ac:dyDescent="0.25">
      <c r="A734" s="2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</row>
    <row r="735" spans="1:31" ht="15.75" customHeight="1" x14ac:dyDescent="0.25">
      <c r="A735" s="2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</row>
    <row r="736" spans="1:31" ht="15.75" customHeight="1" x14ac:dyDescent="0.25">
      <c r="A736" s="2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</row>
    <row r="737" spans="1:31" ht="15.75" customHeight="1" x14ac:dyDescent="0.25">
      <c r="A737" s="2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</row>
    <row r="738" spans="1:31" ht="15.75" customHeight="1" x14ac:dyDescent="0.25">
      <c r="A738" s="2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</row>
    <row r="739" spans="1:31" ht="15.75" customHeight="1" x14ac:dyDescent="0.25">
      <c r="A739" s="2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</row>
    <row r="740" spans="1:31" ht="15.75" customHeight="1" x14ac:dyDescent="0.25">
      <c r="A740" s="2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</row>
    <row r="741" spans="1:31" ht="15.75" customHeight="1" x14ac:dyDescent="0.25">
      <c r="A741" s="2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</row>
    <row r="742" spans="1:31" ht="15.75" customHeight="1" x14ac:dyDescent="0.25">
      <c r="A742" s="2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</row>
    <row r="743" spans="1:31" ht="15.75" customHeight="1" x14ac:dyDescent="0.25">
      <c r="A743" s="2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</row>
    <row r="744" spans="1:31" ht="15.75" customHeight="1" x14ac:dyDescent="0.25">
      <c r="A744" s="2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</row>
    <row r="745" spans="1:31" ht="15.75" customHeight="1" x14ac:dyDescent="0.25">
      <c r="A745" s="2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</row>
    <row r="746" spans="1:31" ht="15.75" customHeight="1" x14ac:dyDescent="0.25">
      <c r="A746" s="2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</row>
    <row r="747" spans="1:31" ht="15.75" customHeight="1" x14ac:dyDescent="0.25">
      <c r="A747" s="2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</row>
    <row r="748" spans="1:31" ht="15.75" customHeight="1" x14ac:dyDescent="0.25">
      <c r="A748" s="2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</row>
    <row r="749" spans="1:31" ht="15.75" customHeight="1" x14ac:dyDescent="0.25">
      <c r="A749" s="2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</row>
    <row r="750" spans="1:31" ht="15.75" customHeight="1" x14ac:dyDescent="0.25">
      <c r="A750" s="2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</row>
    <row r="751" spans="1:31" ht="15.75" customHeight="1" x14ac:dyDescent="0.25">
      <c r="A751" s="2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</row>
    <row r="752" spans="1:31" ht="15.75" customHeight="1" x14ac:dyDescent="0.25">
      <c r="A752" s="2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</row>
    <row r="753" spans="1:31" ht="15.75" customHeight="1" x14ac:dyDescent="0.25">
      <c r="A753" s="2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</row>
    <row r="754" spans="1:31" ht="15.75" customHeight="1" x14ac:dyDescent="0.25">
      <c r="A754" s="2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</row>
    <row r="755" spans="1:31" ht="15.75" customHeight="1" x14ac:dyDescent="0.25">
      <c r="A755" s="2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</row>
    <row r="756" spans="1:31" ht="15.75" customHeight="1" x14ac:dyDescent="0.25">
      <c r="A756" s="2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</row>
    <row r="757" spans="1:31" ht="15.75" customHeight="1" x14ac:dyDescent="0.25">
      <c r="A757" s="2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</row>
    <row r="758" spans="1:31" ht="15.75" customHeight="1" x14ac:dyDescent="0.25">
      <c r="A758" s="2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</row>
    <row r="759" spans="1:31" ht="15.75" customHeight="1" x14ac:dyDescent="0.25">
      <c r="A759" s="2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</row>
    <row r="760" spans="1:31" ht="15.75" customHeight="1" x14ac:dyDescent="0.25">
      <c r="A760" s="2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</row>
    <row r="761" spans="1:31" ht="15.75" customHeight="1" x14ac:dyDescent="0.25">
      <c r="A761" s="2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</row>
    <row r="762" spans="1:31" ht="15.75" customHeight="1" x14ac:dyDescent="0.25">
      <c r="A762" s="2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</row>
    <row r="763" spans="1:31" ht="15.75" customHeight="1" x14ac:dyDescent="0.25">
      <c r="A763" s="2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</row>
    <row r="764" spans="1:31" ht="15.75" customHeight="1" x14ac:dyDescent="0.25">
      <c r="A764" s="2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</row>
    <row r="765" spans="1:31" ht="15.75" customHeight="1" x14ac:dyDescent="0.25">
      <c r="A765" s="2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</row>
    <row r="766" spans="1:31" ht="15.75" customHeight="1" x14ac:dyDescent="0.25">
      <c r="A766" s="2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</row>
    <row r="767" spans="1:31" ht="15.75" customHeight="1" x14ac:dyDescent="0.25">
      <c r="A767" s="2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</row>
    <row r="768" spans="1:31" ht="15.75" customHeight="1" x14ac:dyDescent="0.25">
      <c r="A768" s="2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</row>
    <row r="769" spans="1:31" ht="15.75" customHeight="1" x14ac:dyDescent="0.25">
      <c r="A769" s="2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</row>
    <row r="770" spans="1:31" ht="15.75" customHeight="1" x14ac:dyDescent="0.25">
      <c r="A770" s="2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</row>
    <row r="771" spans="1:31" ht="15.75" customHeight="1" x14ac:dyDescent="0.25">
      <c r="A771" s="2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</row>
    <row r="772" spans="1:31" ht="15.75" customHeight="1" x14ac:dyDescent="0.25">
      <c r="A772" s="2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</row>
    <row r="773" spans="1:31" ht="15.75" customHeight="1" x14ac:dyDescent="0.25">
      <c r="A773" s="2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</row>
    <row r="774" spans="1:31" ht="15.75" customHeight="1" x14ac:dyDescent="0.25">
      <c r="A774" s="2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</row>
    <row r="775" spans="1:31" ht="15.75" customHeight="1" x14ac:dyDescent="0.25">
      <c r="A775" s="2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</row>
    <row r="776" spans="1:31" ht="15.75" customHeight="1" x14ac:dyDescent="0.25">
      <c r="A776" s="2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</row>
    <row r="777" spans="1:31" ht="15.75" customHeight="1" x14ac:dyDescent="0.25">
      <c r="A777" s="2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</row>
    <row r="778" spans="1:31" ht="15.75" customHeight="1" x14ac:dyDescent="0.25">
      <c r="A778" s="2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</row>
    <row r="779" spans="1:31" ht="15.75" customHeight="1" x14ac:dyDescent="0.25">
      <c r="A779" s="2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</row>
    <row r="780" spans="1:31" ht="15.75" customHeight="1" x14ac:dyDescent="0.25">
      <c r="A780" s="2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</row>
    <row r="781" spans="1:31" ht="15.75" customHeight="1" x14ac:dyDescent="0.25">
      <c r="A781" s="2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</row>
    <row r="782" spans="1:31" ht="15.75" customHeight="1" x14ac:dyDescent="0.25">
      <c r="A782" s="2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</row>
    <row r="783" spans="1:31" ht="15.75" customHeight="1" x14ac:dyDescent="0.25">
      <c r="A783" s="2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</row>
    <row r="784" spans="1:31" ht="15.75" customHeight="1" x14ac:dyDescent="0.25">
      <c r="A784" s="2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</row>
    <row r="785" spans="1:31" ht="15.75" customHeight="1" x14ac:dyDescent="0.25">
      <c r="A785" s="2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</row>
    <row r="786" spans="1:31" ht="15.75" customHeight="1" x14ac:dyDescent="0.25">
      <c r="A786" s="2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</row>
    <row r="787" spans="1:31" ht="15.75" customHeight="1" x14ac:dyDescent="0.25">
      <c r="A787" s="2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</row>
    <row r="788" spans="1:31" ht="15.75" customHeight="1" x14ac:dyDescent="0.25">
      <c r="A788" s="2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</row>
    <row r="789" spans="1:31" ht="15.75" customHeight="1" x14ac:dyDescent="0.25">
      <c r="A789" s="2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</row>
    <row r="790" spans="1:31" ht="15.75" customHeight="1" x14ac:dyDescent="0.25">
      <c r="A790" s="2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</row>
    <row r="791" spans="1:31" ht="15.75" customHeight="1" x14ac:dyDescent="0.25">
      <c r="A791" s="2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</row>
    <row r="792" spans="1:31" ht="15.75" customHeight="1" x14ac:dyDescent="0.25">
      <c r="A792" s="2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</row>
    <row r="793" spans="1:31" ht="15.75" customHeight="1" x14ac:dyDescent="0.25">
      <c r="A793" s="2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</row>
    <row r="794" spans="1:31" ht="15.75" customHeight="1" x14ac:dyDescent="0.25">
      <c r="A794" s="2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</row>
    <row r="795" spans="1:31" ht="15.75" customHeight="1" x14ac:dyDescent="0.25">
      <c r="A795" s="2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</row>
    <row r="796" spans="1:31" ht="15.75" customHeight="1" x14ac:dyDescent="0.25">
      <c r="A796" s="2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</row>
    <row r="797" spans="1:31" ht="15.75" customHeight="1" x14ac:dyDescent="0.25">
      <c r="A797" s="2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</row>
    <row r="798" spans="1:31" ht="15.75" customHeight="1" x14ac:dyDescent="0.25">
      <c r="A798" s="2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</row>
    <row r="799" spans="1:31" ht="15.75" customHeight="1" x14ac:dyDescent="0.25">
      <c r="A799" s="2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</row>
    <row r="800" spans="1:31" ht="15.75" customHeight="1" x14ac:dyDescent="0.25">
      <c r="A800" s="2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</row>
    <row r="801" spans="1:31" ht="15.75" customHeight="1" x14ac:dyDescent="0.25">
      <c r="A801" s="2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</row>
    <row r="802" spans="1:31" ht="15.75" customHeight="1" x14ac:dyDescent="0.25">
      <c r="A802" s="2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</row>
    <row r="803" spans="1:31" ht="15.75" customHeight="1" x14ac:dyDescent="0.25">
      <c r="A803" s="2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</row>
    <row r="804" spans="1:31" ht="15.75" customHeight="1" x14ac:dyDescent="0.25">
      <c r="A804" s="2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</row>
    <row r="805" spans="1:31" ht="15.75" customHeight="1" x14ac:dyDescent="0.25">
      <c r="A805" s="2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</row>
    <row r="806" spans="1:31" ht="15.75" customHeight="1" x14ac:dyDescent="0.25">
      <c r="A806" s="2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</row>
    <row r="807" spans="1:31" ht="15.75" customHeight="1" x14ac:dyDescent="0.25">
      <c r="A807" s="2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</row>
    <row r="808" spans="1:31" ht="15.75" customHeight="1" x14ac:dyDescent="0.25">
      <c r="A808" s="2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</row>
    <row r="809" spans="1:31" ht="15.75" customHeight="1" x14ac:dyDescent="0.25">
      <c r="A809" s="2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</row>
    <row r="810" spans="1:31" ht="15.75" customHeight="1" x14ac:dyDescent="0.25">
      <c r="A810" s="2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</row>
    <row r="811" spans="1:31" ht="15.75" customHeight="1" x14ac:dyDescent="0.25">
      <c r="A811" s="2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</row>
    <row r="812" spans="1:31" ht="15.75" customHeight="1" x14ac:dyDescent="0.25">
      <c r="A812" s="2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</row>
    <row r="813" spans="1:31" ht="15.75" customHeight="1" x14ac:dyDescent="0.25">
      <c r="A813" s="2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</row>
    <row r="814" spans="1:31" ht="15.75" customHeight="1" x14ac:dyDescent="0.25">
      <c r="A814" s="2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</row>
    <row r="815" spans="1:31" ht="15.75" customHeight="1" x14ac:dyDescent="0.25">
      <c r="A815" s="2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</row>
    <row r="816" spans="1:31" ht="15.75" customHeight="1" x14ac:dyDescent="0.25">
      <c r="A816" s="2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</row>
    <row r="817" spans="1:31" ht="15.75" customHeight="1" x14ac:dyDescent="0.25">
      <c r="A817" s="2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</row>
    <row r="818" spans="1:31" ht="15.75" customHeight="1" x14ac:dyDescent="0.25">
      <c r="A818" s="2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</row>
    <row r="819" spans="1:31" ht="15.75" customHeight="1" x14ac:dyDescent="0.25">
      <c r="A819" s="2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</row>
    <row r="820" spans="1:31" ht="15.75" customHeight="1" x14ac:dyDescent="0.25">
      <c r="A820" s="2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</row>
    <row r="821" spans="1:31" ht="15.75" customHeight="1" x14ac:dyDescent="0.25">
      <c r="A821" s="2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</row>
    <row r="822" spans="1:31" ht="15.75" customHeight="1" x14ac:dyDescent="0.25">
      <c r="A822" s="2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</row>
    <row r="823" spans="1:31" ht="15.75" customHeight="1" x14ac:dyDescent="0.25">
      <c r="A823" s="2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</row>
    <row r="824" spans="1:31" ht="15.75" customHeight="1" x14ac:dyDescent="0.25">
      <c r="A824" s="2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</row>
    <row r="825" spans="1:31" ht="15.75" customHeight="1" x14ac:dyDescent="0.25">
      <c r="A825" s="2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</row>
    <row r="826" spans="1:31" ht="15.75" customHeight="1" x14ac:dyDescent="0.25">
      <c r="A826" s="2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</row>
    <row r="827" spans="1:31" ht="15.75" customHeight="1" x14ac:dyDescent="0.25">
      <c r="A827" s="2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</row>
    <row r="828" spans="1:31" ht="15.75" customHeight="1" x14ac:dyDescent="0.25">
      <c r="A828" s="2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</row>
    <row r="829" spans="1:31" ht="15.75" customHeight="1" x14ac:dyDescent="0.25">
      <c r="A829" s="2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</row>
    <row r="830" spans="1:31" ht="15.75" customHeight="1" x14ac:dyDescent="0.25">
      <c r="A830" s="2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</row>
    <row r="831" spans="1:31" ht="15.75" customHeight="1" x14ac:dyDescent="0.25">
      <c r="A831" s="2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</row>
    <row r="832" spans="1:31" ht="15.75" customHeight="1" x14ac:dyDescent="0.25">
      <c r="A832" s="2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</row>
    <row r="833" spans="1:31" ht="15.75" customHeight="1" x14ac:dyDescent="0.25">
      <c r="A833" s="2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</row>
    <row r="834" spans="1:31" ht="15.75" customHeight="1" x14ac:dyDescent="0.25">
      <c r="A834" s="2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</row>
    <row r="835" spans="1:31" ht="15.75" customHeight="1" x14ac:dyDescent="0.25">
      <c r="A835" s="2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</row>
    <row r="836" spans="1:31" ht="15.75" customHeight="1" x14ac:dyDescent="0.25">
      <c r="A836" s="2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</row>
    <row r="837" spans="1:31" ht="15.75" customHeight="1" x14ac:dyDescent="0.25">
      <c r="A837" s="2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</row>
    <row r="838" spans="1:31" ht="15.75" customHeight="1" x14ac:dyDescent="0.25">
      <c r="A838" s="2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</row>
    <row r="839" spans="1:31" ht="15.75" customHeight="1" x14ac:dyDescent="0.25">
      <c r="A839" s="2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</row>
    <row r="840" spans="1:31" ht="15.75" customHeight="1" x14ac:dyDescent="0.25">
      <c r="A840" s="2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</row>
    <row r="841" spans="1:31" ht="15.75" customHeight="1" x14ac:dyDescent="0.25">
      <c r="A841" s="2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</row>
    <row r="842" spans="1:31" ht="15.75" customHeight="1" x14ac:dyDescent="0.25">
      <c r="A842" s="2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</row>
    <row r="843" spans="1:31" ht="15.75" customHeight="1" x14ac:dyDescent="0.25">
      <c r="A843" s="2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</row>
    <row r="844" spans="1:31" ht="15.75" customHeight="1" x14ac:dyDescent="0.25">
      <c r="A844" s="2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</row>
    <row r="845" spans="1:31" ht="15.75" customHeight="1" x14ac:dyDescent="0.25">
      <c r="A845" s="2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</row>
    <row r="846" spans="1:31" ht="15.75" customHeight="1" x14ac:dyDescent="0.25">
      <c r="A846" s="2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</row>
    <row r="847" spans="1:31" ht="15.75" customHeight="1" x14ac:dyDescent="0.25">
      <c r="A847" s="2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</row>
    <row r="848" spans="1:31" ht="15.75" customHeight="1" x14ac:dyDescent="0.25">
      <c r="A848" s="2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</row>
    <row r="849" spans="1:31" ht="15.75" customHeight="1" x14ac:dyDescent="0.25">
      <c r="A849" s="2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</row>
    <row r="850" spans="1:31" ht="15.75" customHeight="1" x14ac:dyDescent="0.25">
      <c r="A850" s="2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</row>
    <row r="851" spans="1:31" ht="15.75" customHeight="1" x14ac:dyDescent="0.25">
      <c r="A851" s="2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</row>
    <row r="852" spans="1:31" ht="15.75" customHeight="1" x14ac:dyDescent="0.25">
      <c r="A852" s="2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</row>
    <row r="853" spans="1:31" ht="15.75" customHeight="1" x14ac:dyDescent="0.25">
      <c r="A853" s="2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</row>
    <row r="854" spans="1:31" ht="15.75" customHeight="1" x14ac:dyDescent="0.25">
      <c r="A854" s="2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</row>
    <row r="855" spans="1:31" ht="15.75" customHeight="1" x14ac:dyDescent="0.25">
      <c r="A855" s="2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</row>
    <row r="856" spans="1:31" ht="15.75" customHeight="1" x14ac:dyDescent="0.25">
      <c r="A856" s="2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</row>
    <row r="857" spans="1:31" ht="15.75" customHeight="1" x14ac:dyDescent="0.25">
      <c r="A857" s="2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</row>
    <row r="858" spans="1:31" ht="15.75" customHeight="1" x14ac:dyDescent="0.25">
      <c r="A858" s="2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</row>
    <row r="859" spans="1:31" ht="15.75" customHeight="1" x14ac:dyDescent="0.25">
      <c r="A859" s="2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</row>
    <row r="860" spans="1:31" ht="15.75" customHeight="1" x14ac:dyDescent="0.25">
      <c r="A860" s="2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</row>
    <row r="861" spans="1:31" ht="15.75" customHeight="1" x14ac:dyDescent="0.25">
      <c r="A861" s="2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</row>
    <row r="862" spans="1:31" ht="15.75" customHeight="1" x14ac:dyDescent="0.25">
      <c r="A862" s="2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</row>
    <row r="863" spans="1:31" ht="15.75" customHeight="1" x14ac:dyDescent="0.25">
      <c r="A863" s="2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</row>
    <row r="864" spans="1:31" ht="15.75" customHeight="1" x14ac:dyDescent="0.25">
      <c r="A864" s="2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</row>
    <row r="865" spans="1:31" ht="15.75" customHeight="1" x14ac:dyDescent="0.25">
      <c r="A865" s="2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</row>
    <row r="866" spans="1:31" ht="15.75" customHeight="1" x14ac:dyDescent="0.25">
      <c r="A866" s="2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</row>
    <row r="867" spans="1:31" ht="15.75" customHeight="1" x14ac:dyDescent="0.25">
      <c r="A867" s="2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</row>
    <row r="868" spans="1:31" ht="15.75" customHeight="1" x14ac:dyDescent="0.25">
      <c r="A868" s="2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</row>
    <row r="869" spans="1:31" ht="15.75" customHeight="1" x14ac:dyDescent="0.25">
      <c r="A869" s="2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</row>
    <row r="870" spans="1:31" ht="15.75" customHeight="1" x14ac:dyDescent="0.25">
      <c r="A870" s="2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</row>
    <row r="871" spans="1:31" ht="15.75" customHeight="1" x14ac:dyDescent="0.25">
      <c r="A871" s="2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</row>
    <row r="872" spans="1:31" ht="15.75" customHeight="1" x14ac:dyDescent="0.25">
      <c r="A872" s="2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</row>
    <row r="873" spans="1:31" ht="15.75" customHeight="1" x14ac:dyDescent="0.25">
      <c r="A873" s="2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</row>
    <row r="874" spans="1:31" ht="15.75" customHeight="1" x14ac:dyDescent="0.25">
      <c r="A874" s="2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</row>
    <row r="875" spans="1:31" ht="15.75" customHeight="1" x14ac:dyDescent="0.25">
      <c r="A875" s="2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</row>
    <row r="876" spans="1:31" ht="15.75" customHeight="1" x14ac:dyDescent="0.25">
      <c r="A876" s="2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</row>
    <row r="877" spans="1:31" ht="15.75" customHeight="1" x14ac:dyDescent="0.25">
      <c r="A877" s="2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</row>
    <row r="878" spans="1:31" ht="15.75" customHeight="1" x14ac:dyDescent="0.25">
      <c r="A878" s="2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</row>
    <row r="879" spans="1:31" ht="15.75" customHeight="1" x14ac:dyDescent="0.25">
      <c r="A879" s="2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</row>
    <row r="880" spans="1:31" ht="15.75" customHeight="1" x14ac:dyDescent="0.25">
      <c r="A880" s="2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</row>
    <row r="881" spans="1:31" ht="15.75" customHeight="1" x14ac:dyDescent="0.25">
      <c r="A881" s="2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</row>
    <row r="882" spans="1:31" ht="15.75" customHeight="1" x14ac:dyDescent="0.25">
      <c r="A882" s="2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</row>
    <row r="883" spans="1:31" ht="15.75" customHeight="1" x14ac:dyDescent="0.25">
      <c r="A883" s="2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</row>
    <row r="884" spans="1:31" ht="15.75" customHeight="1" x14ac:dyDescent="0.25">
      <c r="A884" s="2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</row>
    <row r="885" spans="1:31" ht="15.75" customHeight="1" x14ac:dyDescent="0.25">
      <c r="A885" s="2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</row>
    <row r="886" spans="1:31" ht="15.75" customHeight="1" x14ac:dyDescent="0.25">
      <c r="A886" s="2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</row>
    <row r="887" spans="1:31" ht="15.75" customHeight="1" x14ac:dyDescent="0.25">
      <c r="A887" s="2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</row>
    <row r="888" spans="1:31" ht="15.75" customHeight="1" x14ac:dyDescent="0.25">
      <c r="A888" s="2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</row>
    <row r="889" spans="1:31" ht="15.75" customHeight="1" x14ac:dyDescent="0.25">
      <c r="A889" s="2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</row>
    <row r="890" spans="1:31" ht="15.75" customHeight="1" x14ac:dyDescent="0.25">
      <c r="A890" s="2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</row>
    <row r="891" spans="1:31" ht="15.75" customHeight="1" x14ac:dyDescent="0.25">
      <c r="A891" s="2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</row>
    <row r="892" spans="1:31" ht="15.75" customHeight="1" x14ac:dyDescent="0.25">
      <c r="A892" s="2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</row>
    <row r="893" spans="1:31" ht="15.75" customHeight="1" x14ac:dyDescent="0.25">
      <c r="A893" s="2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</row>
    <row r="894" spans="1:31" ht="15.75" customHeight="1" x14ac:dyDescent="0.25">
      <c r="A894" s="2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</row>
    <row r="895" spans="1:31" ht="15.75" customHeight="1" x14ac:dyDescent="0.25">
      <c r="A895" s="2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</row>
    <row r="896" spans="1:31" ht="15.75" customHeight="1" x14ac:dyDescent="0.25">
      <c r="A896" s="2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</row>
    <row r="897" spans="1:31" ht="15.75" customHeight="1" x14ac:dyDescent="0.25">
      <c r="A897" s="2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</row>
    <row r="898" spans="1:31" ht="15.75" customHeight="1" x14ac:dyDescent="0.25">
      <c r="A898" s="2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</row>
    <row r="899" spans="1:31" ht="15.75" customHeight="1" x14ac:dyDescent="0.25">
      <c r="A899" s="2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</row>
    <row r="900" spans="1:31" ht="15.75" customHeight="1" x14ac:dyDescent="0.25">
      <c r="A900" s="2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</row>
    <row r="901" spans="1:31" ht="15.75" customHeight="1" x14ac:dyDescent="0.25">
      <c r="A901" s="2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</row>
    <row r="902" spans="1:31" ht="15.75" customHeight="1" x14ac:dyDescent="0.25">
      <c r="A902" s="2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</row>
    <row r="903" spans="1:31" ht="15.75" customHeight="1" x14ac:dyDescent="0.25">
      <c r="A903" s="2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</row>
    <row r="904" spans="1:31" ht="15.75" customHeight="1" x14ac:dyDescent="0.25">
      <c r="A904" s="2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</row>
    <row r="905" spans="1:31" ht="15.75" customHeight="1" x14ac:dyDescent="0.25">
      <c r="A905" s="2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</row>
    <row r="906" spans="1:31" ht="15.75" customHeight="1" x14ac:dyDescent="0.25">
      <c r="A906" s="2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</row>
    <row r="907" spans="1:31" ht="15.75" customHeight="1" x14ac:dyDescent="0.25">
      <c r="A907" s="2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</row>
    <row r="908" spans="1:31" ht="15.75" customHeight="1" x14ac:dyDescent="0.25">
      <c r="A908" s="2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</row>
    <row r="909" spans="1:31" ht="15.75" customHeight="1" x14ac:dyDescent="0.25">
      <c r="A909" s="2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</row>
    <row r="910" spans="1:31" ht="15.75" customHeight="1" x14ac:dyDescent="0.25">
      <c r="A910" s="2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</row>
    <row r="911" spans="1:31" ht="15.75" customHeight="1" x14ac:dyDescent="0.25">
      <c r="A911" s="2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</row>
    <row r="912" spans="1:31" ht="15.75" customHeight="1" x14ac:dyDescent="0.25">
      <c r="A912" s="2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</row>
    <row r="913" spans="1:31" ht="15.75" customHeight="1" x14ac:dyDescent="0.25">
      <c r="A913" s="2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</row>
    <row r="914" spans="1:31" ht="15.75" customHeight="1" x14ac:dyDescent="0.25">
      <c r="A914" s="2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</row>
    <row r="915" spans="1:31" ht="15.75" customHeight="1" x14ac:dyDescent="0.25">
      <c r="A915" s="2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</row>
    <row r="916" spans="1:31" ht="15.75" customHeight="1" x14ac:dyDescent="0.25">
      <c r="A916" s="2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</row>
    <row r="917" spans="1:31" ht="15.75" customHeight="1" x14ac:dyDescent="0.25">
      <c r="A917" s="2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</row>
    <row r="918" spans="1:31" ht="15.75" customHeight="1" x14ac:dyDescent="0.25">
      <c r="A918" s="2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</row>
    <row r="919" spans="1:31" ht="15.75" customHeight="1" x14ac:dyDescent="0.25">
      <c r="A919" s="2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</row>
    <row r="920" spans="1:31" ht="15.75" customHeight="1" x14ac:dyDescent="0.25">
      <c r="A920" s="2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</row>
    <row r="921" spans="1:31" ht="15.75" customHeight="1" x14ac:dyDescent="0.25">
      <c r="A921" s="2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</row>
    <row r="922" spans="1:31" ht="15.75" customHeight="1" x14ac:dyDescent="0.25">
      <c r="A922" s="2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</row>
    <row r="923" spans="1:31" ht="15.75" customHeight="1" x14ac:dyDescent="0.25">
      <c r="A923" s="2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</row>
    <row r="924" spans="1:31" ht="15.75" customHeight="1" x14ac:dyDescent="0.25">
      <c r="A924" s="2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</row>
    <row r="925" spans="1:31" ht="15.75" customHeight="1" x14ac:dyDescent="0.25">
      <c r="A925" s="2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</row>
    <row r="926" spans="1:31" ht="15.75" customHeight="1" x14ac:dyDescent="0.25">
      <c r="A926" s="2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</row>
    <row r="927" spans="1:31" ht="15.75" customHeight="1" x14ac:dyDescent="0.25">
      <c r="A927" s="2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</row>
    <row r="928" spans="1:31" ht="15.75" customHeight="1" x14ac:dyDescent="0.25">
      <c r="A928" s="2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</row>
    <row r="929" spans="1:31" ht="15.75" customHeight="1" x14ac:dyDescent="0.25">
      <c r="A929" s="2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</row>
    <row r="930" spans="1:31" ht="15.75" customHeight="1" x14ac:dyDescent="0.25">
      <c r="A930" s="2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</row>
    <row r="931" spans="1:31" ht="15.75" customHeight="1" x14ac:dyDescent="0.25">
      <c r="A931" s="2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</row>
    <row r="932" spans="1:31" ht="15.75" customHeight="1" x14ac:dyDescent="0.25">
      <c r="A932" s="2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</row>
    <row r="933" spans="1:31" ht="15.75" customHeight="1" x14ac:dyDescent="0.25">
      <c r="A933" s="2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</row>
    <row r="934" spans="1:31" ht="15.75" customHeight="1" x14ac:dyDescent="0.25">
      <c r="A934" s="2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</row>
    <row r="935" spans="1:31" ht="15.75" customHeight="1" x14ac:dyDescent="0.25">
      <c r="A935" s="2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</row>
    <row r="936" spans="1:31" ht="15.75" customHeight="1" x14ac:dyDescent="0.25">
      <c r="A936" s="2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</row>
    <row r="937" spans="1:31" ht="15.75" customHeight="1" x14ac:dyDescent="0.25">
      <c r="A937" s="2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</row>
    <row r="938" spans="1:31" ht="15.75" customHeight="1" x14ac:dyDescent="0.25">
      <c r="A938" s="2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</row>
    <row r="939" spans="1:31" ht="15.75" customHeight="1" x14ac:dyDescent="0.25">
      <c r="A939" s="2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</row>
    <row r="940" spans="1:31" ht="15.75" customHeight="1" x14ac:dyDescent="0.25">
      <c r="A940" s="2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</row>
    <row r="941" spans="1:31" ht="15.75" customHeight="1" x14ac:dyDescent="0.25">
      <c r="A941" s="2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</row>
    <row r="942" spans="1:31" ht="15.75" customHeight="1" x14ac:dyDescent="0.25">
      <c r="A942" s="2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</row>
    <row r="943" spans="1:31" ht="15.75" customHeight="1" x14ac:dyDescent="0.25">
      <c r="A943" s="2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</row>
    <row r="944" spans="1:31" ht="15.75" customHeight="1" x14ac:dyDescent="0.25">
      <c r="A944" s="2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</row>
    <row r="945" spans="1:31" ht="15.75" customHeight="1" x14ac:dyDescent="0.25">
      <c r="A945" s="2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</row>
    <row r="946" spans="1:31" ht="15.75" customHeight="1" x14ac:dyDescent="0.25">
      <c r="A946" s="2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</row>
    <row r="947" spans="1:31" ht="15.75" customHeight="1" x14ac:dyDescent="0.25">
      <c r="A947" s="2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</row>
    <row r="948" spans="1:31" ht="15.75" customHeight="1" x14ac:dyDescent="0.25">
      <c r="A948" s="2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</row>
    <row r="949" spans="1:31" ht="15.75" customHeight="1" x14ac:dyDescent="0.25">
      <c r="A949" s="2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</row>
    <row r="950" spans="1:31" ht="15.75" customHeight="1" x14ac:dyDescent="0.25">
      <c r="A950" s="2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</row>
    <row r="951" spans="1:31" ht="15.75" customHeight="1" x14ac:dyDescent="0.25">
      <c r="A951" s="2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</row>
    <row r="952" spans="1:31" ht="15.75" customHeight="1" x14ac:dyDescent="0.25">
      <c r="A952" s="2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</row>
    <row r="953" spans="1:31" ht="15.75" customHeight="1" x14ac:dyDescent="0.25">
      <c r="A953" s="2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</row>
    <row r="954" spans="1:31" ht="15.75" customHeight="1" x14ac:dyDescent="0.25">
      <c r="A954" s="2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</row>
    <row r="955" spans="1:31" ht="15.75" customHeight="1" x14ac:dyDescent="0.25">
      <c r="A955" s="2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</row>
    <row r="956" spans="1:31" ht="15.75" customHeight="1" x14ac:dyDescent="0.25">
      <c r="A956" s="2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</row>
    <row r="957" spans="1:31" ht="15.75" customHeight="1" x14ac:dyDescent="0.25">
      <c r="A957" s="2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</row>
    <row r="958" spans="1:31" ht="15.75" customHeight="1" x14ac:dyDescent="0.25">
      <c r="A958" s="2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</row>
    <row r="959" spans="1:31" ht="15.75" customHeight="1" x14ac:dyDescent="0.25">
      <c r="A959" s="2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</row>
    <row r="960" spans="1:31" ht="15.75" customHeight="1" x14ac:dyDescent="0.25">
      <c r="A960" s="2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</row>
    <row r="961" spans="1:31" ht="15.75" customHeight="1" x14ac:dyDescent="0.25">
      <c r="A961" s="2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</row>
    <row r="962" spans="1:31" ht="15.75" customHeight="1" x14ac:dyDescent="0.25">
      <c r="A962" s="2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</row>
    <row r="963" spans="1:31" ht="15.75" customHeight="1" x14ac:dyDescent="0.25">
      <c r="A963" s="2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</row>
    <row r="964" spans="1:31" ht="15.75" customHeight="1" x14ac:dyDescent="0.25">
      <c r="A964" s="2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</row>
    <row r="965" spans="1:31" ht="15.75" customHeight="1" x14ac:dyDescent="0.25">
      <c r="A965" s="2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</row>
    <row r="966" spans="1:31" ht="15.75" customHeight="1" x14ac:dyDescent="0.25">
      <c r="A966" s="2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</row>
    <row r="967" spans="1:31" ht="15.75" customHeight="1" x14ac:dyDescent="0.25">
      <c r="A967" s="2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</row>
    <row r="968" spans="1:31" ht="15.75" customHeight="1" x14ac:dyDescent="0.25">
      <c r="A968" s="2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</row>
    <row r="969" spans="1:31" ht="15.75" customHeight="1" x14ac:dyDescent="0.25">
      <c r="A969" s="2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</row>
    <row r="970" spans="1:31" ht="15.75" customHeight="1" x14ac:dyDescent="0.25">
      <c r="A970" s="2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</row>
    <row r="971" spans="1:31" ht="15.75" customHeight="1" x14ac:dyDescent="0.25">
      <c r="A971" s="2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</row>
    <row r="972" spans="1:31" ht="15.75" customHeight="1" x14ac:dyDescent="0.25">
      <c r="A972" s="2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</row>
    <row r="973" spans="1:31" ht="15.75" customHeight="1" x14ac:dyDescent="0.25">
      <c r="A973" s="2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</row>
    <row r="974" spans="1:31" ht="15.75" customHeight="1" x14ac:dyDescent="0.25">
      <c r="A974" s="2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</row>
    <row r="975" spans="1:31" ht="15.75" customHeight="1" x14ac:dyDescent="0.25">
      <c r="A975" s="2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</row>
    <row r="976" spans="1:31" ht="15.75" customHeight="1" x14ac:dyDescent="0.25">
      <c r="A976" s="2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</row>
    <row r="977" spans="1:31" ht="15.75" customHeight="1" x14ac:dyDescent="0.25">
      <c r="A977" s="2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</row>
    <row r="978" spans="1:31" ht="15.75" customHeight="1" x14ac:dyDescent="0.25">
      <c r="A978" s="2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</row>
    <row r="979" spans="1:31" ht="15.75" customHeight="1" x14ac:dyDescent="0.25">
      <c r="A979" s="2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</row>
    <row r="980" spans="1:31" ht="15.75" customHeight="1" x14ac:dyDescent="0.25">
      <c r="A980" s="2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</row>
    <row r="981" spans="1:31" ht="15.75" customHeight="1" x14ac:dyDescent="0.25">
      <c r="A981" s="2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</row>
    <row r="982" spans="1:31" ht="15.75" customHeight="1" x14ac:dyDescent="0.25">
      <c r="A982" s="2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</row>
    <row r="983" spans="1:31" ht="15.75" customHeight="1" x14ac:dyDescent="0.25">
      <c r="A983" s="2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</row>
    <row r="984" spans="1:31" ht="15.75" customHeight="1" x14ac:dyDescent="0.25">
      <c r="A984" s="2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</row>
    <row r="985" spans="1:31" ht="15.75" customHeight="1" x14ac:dyDescent="0.25">
      <c r="A985" s="2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</row>
    <row r="986" spans="1:31" ht="15.75" customHeight="1" x14ac:dyDescent="0.25">
      <c r="A986" s="2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</row>
    <row r="987" spans="1:31" ht="15.75" customHeight="1" x14ac:dyDescent="0.25">
      <c r="A987" s="2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</row>
    <row r="988" spans="1:31" ht="15.75" customHeight="1" x14ac:dyDescent="0.25">
      <c r="A988" s="2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</row>
    <row r="989" spans="1:31" ht="15.75" customHeight="1" x14ac:dyDescent="0.25">
      <c r="A989" s="2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</row>
    <row r="990" spans="1:31" ht="15.75" customHeight="1" x14ac:dyDescent="0.25">
      <c r="A990" s="2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</row>
    <row r="991" spans="1:31" ht="15.75" customHeight="1" x14ac:dyDescent="0.25">
      <c r="A991" s="2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</row>
    <row r="992" spans="1:31" ht="15.75" customHeight="1" x14ac:dyDescent="0.25">
      <c r="A992" s="2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</row>
    <row r="993" spans="1:31" ht="15.75" customHeight="1" x14ac:dyDescent="0.25">
      <c r="A993" s="2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</row>
    <row r="994" spans="1:31" ht="15.75" customHeight="1" x14ac:dyDescent="0.25">
      <c r="A994" s="2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</row>
    <row r="995" spans="1:31" ht="15.75" customHeight="1" x14ac:dyDescent="0.25">
      <c r="A995" s="2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</row>
    <row r="996" spans="1:31" ht="15.75" customHeight="1" x14ac:dyDescent="0.25">
      <c r="A996" s="2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</row>
    <row r="997" spans="1:31" ht="15.75" customHeight="1" x14ac:dyDescent="0.25">
      <c r="A997" s="2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</row>
    <row r="998" spans="1:31" ht="15.75" customHeight="1" x14ac:dyDescent="0.25">
      <c r="A998" s="2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</row>
    <row r="999" spans="1:31" ht="15.75" customHeight="1" x14ac:dyDescent="0.25">
      <c r="A999" s="2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</row>
    <row r="1000" spans="1:31" ht="15.75" customHeight="1" x14ac:dyDescent="0.25">
      <c r="A1000" s="2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</row>
  </sheetData>
  <mergeCells count="1">
    <mergeCell ref="K10:K12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1000"/>
  <sheetViews>
    <sheetView zoomScale="115" zoomScaleNormal="115" workbookViewId="0">
      <selection activeCell="B37" sqref="B37"/>
    </sheetView>
  </sheetViews>
  <sheetFormatPr defaultColWidth="14.42578125" defaultRowHeight="15" customHeight="1" outlineLevelRow="1" x14ac:dyDescent="0.25"/>
  <cols>
    <col min="1" max="1" width="39.28515625" customWidth="1"/>
    <col min="2" max="2" width="35.140625" customWidth="1"/>
    <col min="3" max="3" width="39" customWidth="1"/>
    <col min="4" max="4" width="11.42578125" customWidth="1"/>
    <col min="5" max="5" width="62.28515625" customWidth="1"/>
    <col min="6" max="6" width="14.140625" customWidth="1"/>
    <col min="7" max="8" width="10" customWidth="1"/>
    <col min="9" max="9" width="3.28515625" customWidth="1"/>
    <col min="10" max="10" width="53.28515625" customWidth="1"/>
    <col min="11" max="26" width="8.7109375" customWidth="1"/>
  </cols>
  <sheetData>
    <row r="1" spans="1:16" x14ac:dyDescent="0.25">
      <c r="A1" s="21" t="s">
        <v>18</v>
      </c>
      <c r="B1" s="22"/>
      <c r="C1" s="22"/>
      <c r="D1" s="22"/>
      <c r="E1" s="23"/>
      <c r="F1" s="24" t="s">
        <v>19</v>
      </c>
      <c r="G1" s="2"/>
      <c r="H1" s="2"/>
      <c r="I1" s="103" t="s">
        <v>20</v>
      </c>
      <c r="J1" s="104"/>
      <c r="K1" s="105"/>
    </row>
    <row r="2" spans="1:16" x14ac:dyDescent="0.25">
      <c r="A2" s="25"/>
      <c r="B2" s="26"/>
      <c r="C2" s="26"/>
      <c r="D2" s="26"/>
      <c r="E2" s="27"/>
      <c r="F2" s="28">
        <v>45815</v>
      </c>
      <c r="G2" s="2"/>
      <c r="H2" s="2"/>
      <c r="I2" s="29" t="s">
        <v>21</v>
      </c>
      <c r="J2" s="29" t="s">
        <v>22</v>
      </c>
      <c r="K2" s="29" t="s">
        <v>23</v>
      </c>
    </row>
    <row r="3" spans="1:16" x14ac:dyDescent="0.25">
      <c r="A3" s="84" t="s">
        <v>76</v>
      </c>
      <c r="B3" s="8"/>
      <c r="C3" s="8"/>
      <c r="D3" s="8"/>
      <c r="E3" s="8"/>
      <c r="F3" s="30"/>
      <c r="G3" s="2"/>
      <c r="H3" s="2"/>
      <c r="I3" s="8"/>
      <c r="J3" s="8"/>
      <c r="K3" s="8"/>
    </row>
    <row r="4" spans="1:16" x14ac:dyDescent="0.25">
      <c r="B4" s="78" t="s">
        <v>79</v>
      </c>
      <c r="C4" s="78" t="s">
        <v>104</v>
      </c>
      <c r="D4" s="78" t="s">
        <v>80</v>
      </c>
      <c r="E4" s="78" t="s">
        <v>82</v>
      </c>
      <c r="F4" s="30"/>
      <c r="G4" s="2"/>
      <c r="H4" s="2"/>
      <c r="I4" s="8"/>
      <c r="J4" s="8"/>
      <c r="K4" s="8"/>
      <c r="O4" s="80" t="s">
        <v>31</v>
      </c>
      <c r="P4" s="80">
        <v>4</v>
      </c>
    </row>
    <row r="5" spans="1:16" ht="15" hidden="1" customHeight="1" outlineLevel="1" x14ac:dyDescent="0.25">
      <c r="A5" s="8"/>
      <c r="B5" s="8"/>
      <c r="C5" s="8" t="s">
        <v>24</v>
      </c>
      <c r="D5" s="8"/>
      <c r="E5" s="8"/>
      <c r="F5" s="30"/>
      <c r="G5" s="2"/>
      <c r="H5" s="2"/>
      <c r="I5" s="8"/>
      <c r="J5" s="8"/>
      <c r="K5" s="8"/>
    </row>
    <row r="6" spans="1:16" ht="15" hidden="1" customHeight="1" outlineLevel="1" x14ac:dyDescent="0.25">
      <c r="A6" s="8"/>
      <c r="B6" s="8"/>
      <c r="C6" s="8" t="s">
        <v>25</v>
      </c>
      <c r="D6" s="8"/>
      <c r="E6" s="8"/>
      <c r="F6" s="30"/>
      <c r="G6" s="2"/>
      <c r="H6" s="2"/>
      <c r="I6" s="8"/>
      <c r="J6" s="8"/>
      <c r="K6" s="8"/>
    </row>
    <row r="7" spans="1:16" ht="15" hidden="1" customHeight="1" outlineLevel="1" x14ac:dyDescent="0.25">
      <c r="A7" s="8"/>
      <c r="B7" s="8"/>
      <c r="C7" s="8" t="s">
        <v>26</v>
      </c>
      <c r="D7" s="8"/>
      <c r="E7" s="8"/>
      <c r="F7" s="30"/>
      <c r="G7" s="2"/>
      <c r="H7" s="2"/>
      <c r="I7" s="8"/>
      <c r="J7" s="8"/>
      <c r="K7" s="8"/>
    </row>
    <row r="8" spans="1:16" ht="15" hidden="1" customHeight="1" outlineLevel="1" x14ac:dyDescent="0.25">
      <c r="A8" s="8"/>
      <c r="B8" s="8"/>
      <c r="C8" s="8" t="s">
        <v>27</v>
      </c>
      <c r="D8" s="8"/>
      <c r="E8" s="8"/>
      <c r="F8" s="31">
        <v>1</v>
      </c>
      <c r="G8" s="2"/>
      <c r="H8" s="2"/>
      <c r="I8" s="8">
        <v>1</v>
      </c>
      <c r="J8" s="8" t="s">
        <v>28</v>
      </c>
      <c r="K8" s="8" t="s">
        <v>29</v>
      </c>
    </row>
    <row r="9" spans="1:16" outlineLevel="1" x14ac:dyDescent="0.25">
      <c r="A9" s="8"/>
      <c r="B9" s="79" t="s">
        <v>81</v>
      </c>
      <c r="C9" s="78" t="s">
        <v>103</v>
      </c>
      <c r="D9" s="78" t="s">
        <v>83</v>
      </c>
      <c r="E9" s="78" t="s">
        <v>82</v>
      </c>
      <c r="F9" s="30"/>
      <c r="G9" s="2"/>
      <c r="H9" s="2"/>
      <c r="I9" s="8"/>
      <c r="J9" s="8"/>
      <c r="K9" s="8"/>
      <c r="O9" s="81" t="s">
        <v>29</v>
      </c>
      <c r="P9" s="81">
        <v>3</v>
      </c>
    </row>
    <row r="10" spans="1:16" outlineLevel="1" x14ac:dyDescent="0.25">
      <c r="A10" s="8"/>
      <c r="B10" s="78" t="s">
        <v>84</v>
      </c>
      <c r="C10" s="78" t="s">
        <v>102</v>
      </c>
      <c r="D10" s="78" t="s">
        <v>86</v>
      </c>
      <c r="E10" s="8" t="s">
        <v>85</v>
      </c>
      <c r="F10" s="30"/>
      <c r="G10" s="2"/>
      <c r="H10" s="2"/>
      <c r="I10" s="8"/>
      <c r="J10" s="8"/>
      <c r="K10" s="8"/>
    </row>
    <row r="11" spans="1:16" outlineLevel="1" x14ac:dyDescent="0.25">
      <c r="A11" s="8"/>
      <c r="B11" s="8"/>
      <c r="C11" s="78" t="s">
        <v>101</v>
      </c>
      <c r="D11" s="78" t="s">
        <v>87</v>
      </c>
      <c r="E11" s="78" t="s">
        <v>85</v>
      </c>
      <c r="F11" s="30"/>
      <c r="G11" s="2"/>
      <c r="H11" s="2"/>
      <c r="I11" s="8"/>
      <c r="J11" s="8"/>
      <c r="K11" s="8"/>
      <c r="O11" s="82" t="s">
        <v>37</v>
      </c>
      <c r="P11" s="82">
        <v>2</v>
      </c>
    </row>
    <row r="12" spans="1:16" x14ac:dyDescent="0.25">
      <c r="A12" s="8"/>
      <c r="B12" s="8"/>
      <c r="C12" s="78" t="s">
        <v>100</v>
      </c>
      <c r="D12" s="78" t="s">
        <v>88</v>
      </c>
      <c r="E12" s="78" t="s">
        <v>85</v>
      </c>
      <c r="F12" s="30"/>
      <c r="G12" s="2"/>
      <c r="H12" s="2"/>
      <c r="I12" s="8"/>
      <c r="J12" s="8"/>
      <c r="K12" s="8"/>
      <c r="O12" s="83" t="s">
        <v>36</v>
      </c>
      <c r="P12" s="83">
        <v>1</v>
      </c>
    </row>
    <row r="13" spans="1:16" hidden="1" outlineLevel="1" x14ac:dyDescent="0.25">
      <c r="A13" s="8"/>
      <c r="B13" s="8"/>
      <c r="C13" s="8" t="s">
        <v>30</v>
      </c>
      <c r="D13" s="78" t="s">
        <v>89</v>
      </c>
      <c r="E13" s="8"/>
      <c r="F13" s="30"/>
      <c r="G13" s="2"/>
      <c r="H13" s="2"/>
      <c r="I13" s="8"/>
      <c r="J13" s="8"/>
      <c r="K13" s="8"/>
    </row>
    <row r="14" spans="1:16" hidden="1" outlineLevel="1" x14ac:dyDescent="0.25">
      <c r="A14" s="8"/>
      <c r="B14" s="8"/>
      <c r="C14" s="8"/>
      <c r="D14" s="78" t="s">
        <v>90</v>
      </c>
      <c r="E14" s="8"/>
      <c r="F14" s="30"/>
      <c r="G14" s="2"/>
      <c r="H14" s="2"/>
      <c r="I14" s="8"/>
      <c r="J14" s="8"/>
      <c r="K14" s="8"/>
    </row>
    <row r="15" spans="1:16" hidden="1" outlineLevel="1" x14ac:dyDescent="0.25">
      <c r="A15" s="8"/>
      <c r="B15" s="8"/>
      <c r="C15" s="8"/>
      <c r="D15" s="78" t="s">
        <v>91</v>
      </c>
      <c r="E15" s="8"/>
      <c r="F15" s="30"/>
      <c r="G15" s="2"/>
      <c r="H15" s="2"/>
      <c r="I15" s="8"/>
      <c r="J15" s="8"/>
      <c r="K15" s="8"/>
    </row>
    <row r="16" spans="1:16" hidden="1" outlineLevel="1" x14ac:dyDescent="0.25">
      <c r="A16" s="8"/>
      <c r="B16" s="8"/>
      <c r="C16" s="8"/>
      <c r="D16" s="78" t="s">
        <v>92</v>
      </c>
      <c r="E16" s="8"/>
      <c r="F16" s="30"/>
      <c r="G16" s="2"/>
      <c r="H16" s="2"/>
      <c r="I16" s="8"/>
      <c r="J16" s="8"/>
      <c r="K16" s="8"/>
    </row>
    <row r="17" spans="1:11" hidden="1" outlineLevel="1" x14ac:dyDescent="0.25">
      <c r="A17" s="8"/>
      <c r="B17" s="8"/>
      <c r="C17" s="8"/>
      <c r="D17" s="78" t="s">
        <v>93</v>
      </c>
      <c r="E17" s="8" t="s">
        <v>32</v>
      </c>
      <c r="F17" s="30"/>
      <c r="G17" s="2"/>
      <c r="H17" s="2"/>
      <c r="I17" s="8"/>
      <c r="J17" s="8"/>
      <c r="K17" s="8"/>
    </row>
    <row r="18" spans="1:11" hidden="1" outlineLevel="1" x14ac:dyDescent="0.25">
      <c r="A18" s="8"/>
      <c r="B18" s="8"/>
      <c r="C18" s="8"/>
      <c r="D18" s="78" t="s">
        <v>94</v>
      </c>
      <c r="E18" s="8" t="s">
        <v>33</v>
      </c>
      <c r="F18" s="30"/>
      <c r="G18" s="2"/>
      <c r="H18" s="2"/>
      <c r="I18" s="8"/>
      <c r="J18" s="8"/>
      <c r="K18" s="8"/>
    </row>
    <row r="19" spans="1:11" hidden="1" outlineLevel="1" x14ac:dyDescent="0.25">
      <c r="A19" s="8"/>
      <c r="B19" s="8"/>
      <c r="C19" s="8"/>
      <c r="D19" s="78" t="s">
        <v>95</v>
      </c>
      <c r="E19" s="8" t="s">
        <v>34</v>
      </c>
      <c r="F19" s="30"/>
      <c r="G19" s="2"/>
      <c r="H19" s="2"/>
      <c r="I19" s="8"/>
      <c r="J19" s="8"/>
      <c r="K19" s="8"/>
    </row>
    <row r="20" spans="1:11" hidden="1" outlineLevel="1" x14ac:dyDescent="0.25">
      <c r="A20" s="8"/>
      <c r="B20" s="8"/>
      <c r="C20" s="8"/>
      <c r="D20" s="78" t="s">
        <v>96</v>
      </c>
      <c r="E20" s="8"/>
      <c r="F20" s="30"/>
      <c r="G20" s="2"/>
      <c r="H20" s="2"/>
      <c r="I20" s="8"/>
      <c r="J20" s="8"/>
      <c r="K20" s="8"/>
    </row>
    <row r="21" spans="1:11" ht="15.75" hidden="1" customHeight="1" outlineLevel="1" x14ac:dyDescent="0.25">
      <c r="A21" s="8"/>
      <c r="B21" s="8"/>
      <c r="C21" s="8" t="s">
        <v>35</v>
      </c>
      <c r="D21" s="78" t="s">
        <v>97</v>
      </c>
      <c r="E21" s="8"/>
      <c r="F21" s="30"/>
      <c r="G21" s="2"/>
      <c r="H21" s="2"/>
      <c r="I21" s="8"/>
      <c r="J21" s="8"/>
      <c r="K21" s="8"/>
    </row>
    <row r="22" spans="1:11" ht="15.75" customHeight="1" outlineLevel="1" x14ac:dyDescent="0.25">
      <c r="A22" s="8"/>
      <c r="B22" s="8"/>
      <c r="C22" s="78" t="s">
        <v>99</v>
      </c>
      <c r="D22" s="78" t="s">
        <v>89</v>
      </c>
      <c r="E22" s="78" t="s">
        <v>82</v>
      </c>
      <c r="F22" s="30"/>
      <c r="G22" s="2"/>
      <c r="H22" s="2"/>
      <c r="I22" s="8"/>
      <c r="J22" s="8"/>
      <c r="K22" s="8"/>
    </row>
    <row r="23" spans="1:11" ht="15.75" customHeight="1" x14ac:dyDescent="0.25">
      <c r="A23" s="8"/>
      <c r="B23" s="78" t="s">
        <v>98</v>
      </c>
      <c r="C23" s="78" t="s">
        <v>105</v>
      </c>
      <c r="D23" s="78" t="s">
        <v>90</v>
      </c>
      <c r="E23" s="78" t="s">
        <v>85</v>
      </c>
      <c r="F23" s="30"/>
      <c r="G23" s="2"/>
      <c r="H23" s="2"/>
      <c r="I23" s="8"/>
      <c r="J23" s="8"/>
      <c r="K23" s="8"/>
    </row>
    <row r="24" spans="1:11" ht="15.75" hidden="1" customHeight="1" outlineLevel="1" x14ac:dyDescent="0.25">
      <c r="A24" s="8"/>
      <c r="B24" s="8"/>
      <c r="C24" s="8" t="s">
        <v>38</v>
      </c>
      <c r="D24" s="8"/>
      <c r="E24" s="8"/>
      <c r="F24" s="30"/>
      <c r="G24" s="2"/>
      <c r="H24" s="2"/>
      <c r="I24" s="8"/>
      <c r="J24" s="8"/>
      <c r="K24" s="8"/>
    </row>
    <row r="25" spans="1:11" ht="15.75" hidden="1" customHeight="1" outlineLevel="1" x14ac:dyDescent="0.25">
      <c r="A25" s="8"/>
      <c r="B25" s="8"/>
      <c r="C25" s="8" t="s">
        <v>39</v>
      </c>
      <c r="D25" s="8"/>
      <c r="E25" s="8"/>
      <c r="F25" s="30"/>
      <c r="G25" s="2"/>
      <c r="H25" s="2"/>
      <c r="I25" s="8"/>
      <c r="J25" s="8"/>
      <c r="K25" s="8"/>
    </row>
    <row r="26" spans="1:11" ht="15.75" hidden="1" customHeight="1" outlineLevel="1" x14ac:dyDescent="0.25">
      <c r="A26" s="8"/>
      <c r="B26" s="8"/>
      <c r="C26" s="8" t="s">
        <v>40</v>
      </c>
      <c r="D26" s="8"/>
      <c r="E26" s="8"/>
      <c r="F26" s="30"/>
      <c r="G26" s="2"/>
      <c r="H26" s="2"/>
      <c r="I26" s="8"/>
      <c r="J26" s="8"/>
      <c r="K26" s="8"/>
    </row>
    <row r="27" spans="1:11" ht="15.75" customHeight="1" outlineLevel="1" x14ac:dyDescent="0.25">
      <c r="A27" s="8"/>
      <c r="B27" s="78" t="s">
        <v>106</v>
      </c>
      <c r="C27" s="78" t="s">
        <v>107</v>
      </c>
      <c r="D27" s="78" t="s">
        <v>91</v>
      </c>
      <c r="E27" s="78" t="s">
        <v>108</v>
      </c>
      <c r="F27" s="30"/>
      <c r="G27" s="2"/>
      <c r="H27" s="2"/>
      <c r="I27" s="8"/>
      <c r="J27" s="8"/>
      <c r="K27" s="8"/>
    </row>
    <row r="28" spans="1:11" ht="15.75" customHeight="1" outlineLevel="1" x14ac:dyDescent="0.25">
      <c r="A28" s="84" t="s">
        <v>77</v>
      </c>
      <c r="B28" s="8"/>
      <c r="C28" s="8"/>
      <c r="D28" s="8"/>
      <c r="E28" s="8"/>
      <c r="F28" s="30"/>
      <c r="G28" s="2"/>
      <c r="H28" s="2"/>
      <c r="I28" s="8"/>
      <c r="J28" s="8"/>
      <c r="K28" s="8"/>
    </row>
    <row r="29" spans="1:11" ht="15.75" customHeight="1" outlineLevel="1" x14ac:dyDescent="0.25">
      <c r="A29" s="8"/>
      <c r="B29" s="78" t="s">
        <v>79</v>
      </c>
      <c r="C29" s="78" t="s">
        <v>109</v>
      </c>
      <c r="D29" s="78" t="s">
        <v>110</v>
      </c>
      <c r="E29" s="78" t="s">
        <v>82</v>
      </c>
      <c r="F29" s="30"/>
      <c r="G29" s="2"/>
      <c r="H29" s="2"/>
      <c r="I29" s="8"/>
      <c r="J29" s="8"/>
      <c r="K29" s="8"/>
    </row>
    <row r="30" spans="1:11" ht="15.75" customHeight="1" x14ac:dyDescent="0.25">
      <c r="A30" s="8"/>
      <c r="B30" s="79" t="s">
        <v>81</v>
      </c>
      <c r="C30" s="78" t="s">
        <v>103</v>
      </c>
      <c r="D30" s="78" t="s">
        <v>111</v>
      </c>
      <c r="E30" s="78" t="s">
        <v>82</v>
      </c>
      <c r="F30" s="30"/>
      <c r="G30" s="2"/>
      <c r="H30" s="2"/>
      <c r="I30" s="8"/>
      <c r="J30" s="8"/>
      <c r="K30" s="8"/>
    </row>
    <row r="31" spans="1:11" ht="15.75" customHeight="1" x14ac:dyDescent="0.25">
      <c r="A31" s="8"/>
      <c r="B31" s="78" t="s">
        <v>112</v>
      </c>
      <c r="C31" s="78" t="s">
        <v>113</v>
      </c>
      <c r="D31" s="78" t="s">
        <v>114</v>
      </c>
      <c r="E31" s="78" t="s">
        <v>115</v>
      </c>
      <c r="F31" s="30"/>
      <c r="G31" s="2"/>
      <c r="H31" s="2"/>
      <c r="I31" s="8"/>
      <c r="J31" s="8"/>
      <c r="K31" s="8"/>
    </row>
    <row r="32" spans="1:11" ht="15.75" customHeight="1" outlineLevel="1" x14ac:dyDescent="0.25">
      <c r="A32" s="8"/>
      <c r="B32" s="8"/>
      <c r="C32" s="78" t="s">
        <v>116</v>
      </c>
      <c r="D32" s="78" t="s">
        <v>117</v>
      </c>
      <c r="E32" s="78" t="s">
        <v>118</v>
      </c>
      <c r="F32" s="30"/>
      <c r="G32" s="2"/>
      <c r="H32" s="2"/>
      <c r="I32" s="8"/>
      <c r="J32" s="8"/>
      <c r="K32" s="8"/>
    </row>
    <row r="33" spans="1:11" ht="15.75" customHeight="1" outlineLevel="1" x14ac:dyDescent="0.25">
      <c r="A33" s="8"/>
      <c r="B33" s="8"/>
      <c r="C33" s="78" t="s">
        <v>119</v>
      </c>
      <c r="D33" s="78" t="s">
        <v>120</v>
      </c>
      <c r="E33" s="78" t="s">
        <v>118</v>
      </c>
      <c r="F33" s="30"/>
      <c r="G33" s="2"/>
      <c r="H33" s="2"/>
      <c r="I33" s="8"/>
      <c r="J33" s="8"/>
      <c r="K33" s="8"/>
    </row>
    <row r="34" spans="1:11" ht="15.75" customHeight="1" outlineLevel="1" x14ac:dyDescent="0.25">
      <c r="A34" s="8"/>
      <c r="B34" s="78" t="s">
        <v>121</v>
      </c>
      <c r="C34" s="85" t="s">
        <v>123</v>
      </c>
      <c r="D34" s="78" t="s">
        <v>125</v>
      </c>
      <c r="E34" s="85" t="s">
        <v>122</v>
      </c>
      <c r="F34" s="30"/>
      <c r="G34" s="2"/>
      <c r="H34" s="2"/>
      <c r="I34" s="8"/>
      <c r="J34" s="8"/>
      <c r="K34" s="8"/>
    </row>
    <row r="35" spans="1:11" ht="15.75" customHeight="1" outlineLevel="1" x14ac:dyDescent="0.25">
      <c r="A35" s="8"/>
      <c r="B35" s="8"/>
      <c r="C35" s="78" t="s">
        <v>105</v>
      </c>
      <c r="D35" s="78" t="s">
        <v>126</v>
      </c>
      <c r="E35" s="78" t="s">
        <v>124</v>
      </c>
      <c r="F35" s="30"/>
      <c r="G35" s="2"/>
      <c r="H35" s="2"/>
      <c r="I35" s="8"/>
      <c r="J35" s="8"/>
      <c r="K35" s="8"/>
    </row>
    <row r="36" spans="1:11" ht="15.75" customHeight="1" outlineLevel="1" x14ac:dyDescent="0.25">
      <c r="A36" s="78" t="s">
        <v>78</v>
      </c>
      <c r="B36" s="8"/>
      <c r="F36" s="30"/>
      <c r="G36" s="2"/>
      <c r="H36" s="2"/>
      <c r="I36" s="8"/>
      <c r="J36" s="8"/>
      <c r="K36" s="8"/>
    </row>
    <row r="37" spans="1:11" ht="15.75" customHeight="1" outlineLevel="1" x14ac:dyDescent="0.25">
      <c r="A37" s="8"/>
      <c r="B37" s="98" t="s">
        <v>127</v>
      </c>
      <c r="C37" s="78" t="s">
        <v>128</v>
      </c>
      <c r="D37" s="78" t="s">
        <v>134</v>
      </c>
      <c r="E37" s="78" t="s">
        <v>133</v>
      </c>
      <c r="F37" s="30"/>
      <c r="G37" s="2"/>
      <c r="H37" s="2"/>
      <c r="I37" s="8"/>
      <c r="J37" s="8"/>
      <c r="K37" s="8"/>
    </row>
    <row r="38" spans="1:11" ht="15.75" customHeight="1" outlineLevel="1" x14ac:dyDescent="0.25">
      <c r="A38" s="8"/>
      <c r="B38" s="96"/>
      <c r="C38" s="78" t="s">
        <v>129</v>
      </c>
      <c r="D38" s="78" t="s">
        <v>135</v>
      </c>
      <c r="E38" s="78" t="s">
        <v>133</v>
      </c>
      <c r="F38" s="30"/>
      <c r="G38" s="2"/>
      <c r="H38" s="2"/>
      <c r="I38" s="8"/>
      <c r="J38" s="8"/>
      <c r="K38" s="8"/>
    </row>
    <row r="39" spans="1:11" ht="15.75" customHeight="1" outlineLevel="1" x14ac:dyDescent="0.25">
      <c r="A39" s="8"/>
      <c r="B39" s="8"/>
      <c r="C39" s="78" t="s">
        <v>130</v>
      </c>
      <c r="D39" s="78" t="s">
        <v>136</v>
      </c>
      <c r="E39" s="78" t="s">
        <v>133</v>
      </c>
      <c r="F39" s="30"/>
      <c r="G39" s="2"/>
      <c r="H39" s="2"/>
      <c r="I39" s="8"/>
      <c r="J39" s="8"/>
      <c r="K39" s="8"/>
    </row>
    <row r="40" spans="1:11" ht="15.75" customHeight="1" outlineLevel="1" x14ac:dyDescent="0.25">
      <c r="A40" s="8"/>
      <c r="B40" s="8"/>
      <c r="C40" s="78" t="s">
        <v>131</v>
      </c>
      <c r="D40" s="78" t="s">
        <v>137</v>
      </c>
      <c r="E40" s="78" t="s">
        <v>133</v>
      </c>
      <c r="F40" s="30"/>
      <c r="G40" s="2"/>
      <c r="H40" s="2"/>
      <c r="I40" s="8"/>
      <c r="J40" s="8"/>
      <c r="K40" s="8"/>
    </row>
    <row r="41" spans="1:11" ht="15.75" customHeight="1" outlineLevel="1" x14ac:dyDescent="0.25">
      <c r="A41" s="8"/>
      <c r="B41" s="8"/>
      <c r="C41" s="78" t="s">
        <v>132</v>
      </c>
      <c r="D41" s="78" t="s">
        <v>138</v>
      </c>
      <c r="E41" s="78" t="s">
        <v>139</v>
      </c>
      <c r="F41" s="30"/>
      <c r="G41" s="2"/>
      <c r="H41" s="2"/>
      <c r="I41" s="8"/>
      <c r="J41" s="8"/>
      <c r="K41" s="8"/>
    </row>
    <row r="42" spans="1:11" ht="15.75" customHeight="1" outlineLevel="1" x14ac:dyDescent="0.25">
      <c r="A42" s="8"/>
      <c r="B42" s="85" t="s">
        <v>140</v>
      </c>
      <c r="C42" s="78" t="s">
        <v>128</v>
      </c>
      <c r="D42" s="78" t="s">
        <v>141</v>
      </c>
      <c r="E42" s="78" t="s">
        <v>133</v>
      </c>
      <c r="F42" s="30"/>
      <c r="G42" s="2"/>
      <c r="H42" s="2"/>
      <c r="I42" s="8"/>
      <c r="J42" s="8"/>
      <c r="K42" s="8"/>
    </row>
    <row r="43" spans="1:11" ht="15.75" customHeight="1" outlineLevel="1" x14ac:dyDescent="0.25">
      <c r="A43" s="8"/>
      <c r="B43" s="8"/>
      <c r="C43" s="78" t="s">
        <v>129</v>
      </c>
      <c r="D43" s="78" t="s">
        <v>142</v>
      </c>
      <c r="E43" s="78" t="s">
        <v>133</v>
      </c>
      <c r="F43" s="30"/>
      <c r="G43" s="2"/>
      <c r="H43" s="2"/>
      <c r="I43" s="8"/>
      <c r="J43" s="8"/>
      <c r="K43" s="8"/>
    </row>
    <row r="44" spans="1:11" ht="15.75" customHeight="1" outlineLevel="1" x14ac:dyDescent="0.25">
      <c r="A44" s="8"/>
      <c r="B44" s="8"/>
      <c r="C44" s="78" t="s">
        <v>130</v>
      </c>
      <c r="D44" s="78" t="s">
        <v>143</v>
      </c>
      <c r="E44" s="78" t="s">
        <v>133</v>
      </c>
      <c r="F44" s="30"/>
      <c r="G44" s="2"/>
      <c r="H44" s="2"/>
      <c r="I44" s="8"/>
      <c r="J44" s="8"/>
      <c r="K44" s="8"/>
    </row>
    <row r="45" spans="1:11" ht="15.75" customHeight="1" outlineLevel="1" x14ac:dyDescent="0.25">
      <c r="A45" s="8"/>
      <c r="B45" s="8"/>
      <c r="C45" s="78" t="s">
        <v>131</v>
      </c>
      <c r="D45" s="78" t="s">
        <v>144</v>
      </c>
      <c r="E45" s="78" t="s">
        <v>133</v>
      </c>
      <c r="F45" s="30"/>
      <c r="G45" s="2"/>
      <c r="H45" s="2"/>
      <c r="I45" s="8"/>
      <c r="J45" s="8"/>
      <c r="K45" s="8"/>
    </row>
    <row r="46" spans="1:11" ht="15.75" customHeight="1" outlineLevel="1" x14ac:dyDescent="0.25">
      <c r="A46" s="8"/>
      <c r="B46" s="8"/>
      <c r="C46" s="78" t="s">
        <v>132</v>
      </c>
      <c r="D46" s="78" t="s">
        <v>145</v>
      </c>
      <c r="E46" s="78" t="s">
        <v>133</v>
      </c>
      <c r="F46" s="30"/>
      <c r="G46" s="2"/>
      <c r="H46" s="2"/>
      <c r="I46" s="8"/>
      <c r="J46" s="8"/>
      <c r="K46" s="8"/>
    </row>
    <row r="47" spans="1:11" ht="15.75" customHeight="1" outlineLevel="1" x14ac:dyDescent="0.25">
      <c r="A47" s="8"/>
      <c r="B47" s="8"/>
      <c r="C47" s="8"/>
      <c r="D47" s="8"/>
      <c r="E47" s="8"/>
      <c r="F47" s="30"/>
      <c r="G47" s="2"/>
      <c r="H47" s="2"/>
      <c r="I47" s="8"/>
      <c r="J47" s="8"/>
      <c r="K47" s="8"/>
    </row>
    <row r="48" spans="1:11" ht="15.75" customHeight="1" outlineLevel="1" x14ac:dyDescent="0.25">
      <c r="A48" s="8"/>
      <c r="B48" s="8"/>
      <c r="C48" s="8"/>
      <c r="D48" s="8"/>
      <c r="E48" s="8"/>
      <c r="F48" s="30"/>
      <c r="G48" s="2"/>
      <c r="H48" s="2"/>
      <c r="I48" s="8"/>
      <c r="J48" s="8"/>
      <c r="K48" s="8"/>
    </row>
    <row r="49" spans="1:11" ht="15.75" customHeight="1" outlineLevel="1" x14ac:dyDescent="0.25">
      <c r="A49" s="8"/>
      <c r="B49" s="8"/>
      <c r="C49" s="8"/>
      <c r="D49" s="8"/>
      <c r="E49" s="8"/>
      <c r="F49" s="30"/>
      <c r="G49" s="2"/>
      <c r="H49" s="2"/>
      <c r="I49" s="8"/>
      <c r="J49" s="8"/>
      <c r="K49" s="8"/>
    </row>
    <row r="50" spans="1:11" ht="15.75" customHeight="1" outlineLevel="1" x14ac:dyDescent="0.25">
      <c r="A50" s="8"/>
      <c r="B50" s="8"/>
      <c r="C50" s="8"/>
      <c r="D50" s="8"/>
      <c r="E50" s="8"/>
      <c r="F50" s="30"/>
      <c r="G50" s="2"/>
      <c r="H50" s="2"/>
      <c r="I50" s="8"/>
      <c r="J50" s="8"/>
      <c r="K50" s="8"/>
    </row>
    <row r="51" spans="1:11" ht="15.75" customHeight="1" x14ac:dyDescent="0.25">
      <c r="A51" s="8"/>
      <c r="B51" s="8"/>
      <c r="C51" s="8"/>
      <c r="D51" s="8"/>
      <c r="E51" s="8"/>
      <c r="F51" s="30"/>
      <c r="G51" s="2"/>
      <c r="H51" s="2"/>
      <c r="I51" s="8"/>
      <c r="J51" s="8"/>
      <c r="K51" s="8"/>
    </row>
    <row r="52" spans="1:11" ht="15.75" customHeight="1" outlineLevel="1" x14ac:dyDescent="0.25">
      <c r="A52" s="8"/>
      <c r="B52" s="8"/>
      <c r="C52" s="32"/>
      <c r="D52" s="8"/>
      <c r="E52" s="8"/>
      <c r="F52" s="31"/>
      <c r="G52" s="2"/>
      <c r="H52" s="2"/>
      <c r="I52" s="8"/>
      <c r="J52" s="8"/>
      <c r="K52" s="8"/>
    </row>
    <row r="53" spans="1:11" ht="15.75" customHeight="1" outlineLevel="1" x14ac:dyDescent="0.25">
      <c r="A53" s="8"/>
      <c r="B53" s="8"/>
      <c r="C53" s="8"/>
      <c r="D53" s="8"/>
      <c r="E53" s="8"/>
      <c r="F53" s="30"/>
      <c r="G53" s="2"/>
      <c r="H53" s="2"/>
      <c r="I53" s="8"/>
      <c r="J53" s="8"/>
      <c r="K53" s="8"/>
    </row>
    <row r="54" spans="1:11" ht="15.75" customHeight="1" outlineLevel="1" x14ac:dyDescent="0.25">
      <c r="A54" s="8"/>
      <c r="B54" s="8"/>
      <c r="C54" s="8"/>
      <c r="D54" s="8"/>
      <c r="E54" s="8"/>
      <c r="F54" s="30"/>
      <c r="G54" s="2"/>
      <c r="H54" s="2"/>
      <c r="I54" s="8"/>
      <c r="J54" s="8"/>
      <c r="K54" s="8"/>
    </row>
    <row r="55" spans="1:11" ht="15.75" customHeight="1" x14ac:dyDescent="0.25">
      <c r="A55" s="8"/>
      <c r="B55" s="8"/>
      <c r="C55" s="8"/>
      <c r="D55" s="8"/>
      <c r="E55" s="8"/>
      <c r="F55" s="30"/>
      <c r="G55" s="2"/>
      <c r="H55" s="2"/>
      <c r="I55" s="8"/>
      <c r="J55" s="8"/>
      <c r="K55" s="8"/>
    </row>
    <row r="56" spans="1:11" ht="15.75" hidden="1" customHeight="1" outlineLevel="1" x14ac:dyDescent="0.25">
      <c r="A56" s="8"/>
      <c r="B56" s="8"/>
      <c r="C56" s="8"/>
      <c r="D56" s="8"/>
      <c r="E56" s="8"/>
      <c r="F56" s="31"/>
      <c r="G56" s="2"/>
      <c r="H56" s="2"/>
      <c r="I56" s="8"/>
      <c r="J56" s="8"/>
      <c r="K56" s="8"/>
    </row>
    <row r="57" spans="1:11" ht="15.75" hidden="1" customHeight="1" outlineLevel="1" x14ac:dyDescent="0.25">
      <c r="A57" s="8"/>
      <c r="B57" s="8"/>
      <c r="C57" s="8"/>
      <c r="D57" s="8"/>
      <c r="E57" s="8"/>
      <c r="F57" s="31"/>
      <c r="G57" s="2"/>
      <c r="H57" s="2"/>
      <c r="I57" s="8"/>
      <c r="J57" s="8"/>
      <c r="K57" s="8"/>
    </row>
    <row r="58" spans="1:11" ht="15.75" hidden="1" customHeight="1" outlineLevel="1" x14ac:dyDescent="0.25">
      <c r="A58" s="8"/>
      <c r="B58" s="8"/>
      <c r="C58" s="8"/>
      <c r="D58" s="8"/>
      <c r="E58" s="8"/>
      <c r="F58" s="30"/>
      <c r="G58" s="2"/>
      <c r="H58" s="2"/>
      <c r="I58" s="8"/>
      <c r="J58" s="8"/>
      <c r="K58" s="8"/>
    </row>
    <row r="59" spans="1:11" ht="15.75" hidden="1" customHeight="1" outlineLevel="1" x14ac:dyDescent="0.25">
      <c r="A59" s="8"/>
      <c r="B59" s="8"/>
      <c r="C59" s="8"/>
      <c r="D59" s="8"/>
      <c r="E59" s="8"/>
      <c r="F59" s="30"/>
      <c r="G59" s="2"/>
      <c r="H59" s="2"/>
      <c r="I59" s="8"/>
      <c r="J59" s="8"/>
      <c r="K59" s="8"/>
    </row>
    <row r="60" spans="1:11" ht="15.75" hidden="1" customHeight="1" outlineLevel="1" x14ac:dyDescent="0.25">
      <c r="A60" s="8"/>
      <c r="B60" s="8"/>
      <c r="C60" s="8"/>
      <c r="D60" s="8"/>
      <c r="E60" s="8"/>
      <c r="F60" s="30"/>
      <c r="G60" s="2"/>
      <c r="H60" s="2"/>
      <c r="I60" s="8"/>
      <c r="J60" s="8"/>
      <c r="K60" s="8"/>
    </row>
    <row r="61" spans="1:11" ht="15.75" customHeight="1" collapsed="1" x14ac:dyDescent="0.25">
      <c r="A61" s="8"/>
      <c r="B61" s="8"/>
      <c r="C61" s="8"/>
      <c r="D61" s="8"/>
      <c r="E61" s="8"/>
      <c r="F61" s="31"/>
      <c r="G61" s="2"/>
      <c r="H61" s="2"/>
      <c r="I61" s="8"/>
      <c r="J61" s="8"/>
      <c r="K61" s="8"/>
    </row>
    <row r="62" spans="1:11" ht="15.75" customHeight="1" x14ac:dyDescent="0.25">
      <c r="A62" s="8"/>
      <c r="B62" s="8"/>
      <c r="C62" s="8"/>
      <c r="D62" s="8"/>
      <c r="E62" s="8"/>
      <c r="F62" s="31"/>
      <c r="G62" s="2"/>
      <c r="H62" s="2"/>
      <c r="I62" s="8"/>
      <c r="J62" s="8"/>
      <c r="K62" s="8"/>
    </row>
    <row r="63" spans="1:11" ht="15.75" hidden="1" customHeight="1" outlineLevel="1" x14ac:dyDescent="0.25">
      <c r="A63" s="8"/>
      <c r="B63" s="8"/>
      <c r="C63" s="8"/>
      <c r="D63" s="8"/>
      <c r="E63" s="8"/>
      <c r="F63" s="30"/>
      <c r="G63" s="2"/>
      <c r="H63" s="2"/>
      <c r="I63" s="8"/>
      <c r="J63" s="8"/>
      <c r="K63" s="8"/>
    </row>
    <row r="64" spans="1:11" ht="15.75" hidden="1" customHeight="1" outlineLevel="1" x14ac:dyDescent="0.25">
      <c r="A64" s="8"/>
      <c r="B64" s="8"/>
      <c r="C64" s="8"/>
      <c r="D64" s="8"/>
      <c r="E64" s="8"/>
      <c r="F64" s="30"/>
      <c r="G64" s="2"/>
      <c r="H64" s="2"/>
      <c r="I64" s="8"/>
      <c r="J64" s="8"/>
      <c r="K64" s="8"/>
    </row>
    <row r="65" spans="1:11" ht="15.75" customHeight="1" outlineLevel="1" x14ac:dyDescent="0.25">
      <c r="A65" s="8"/>
      <c r="B65" s="8"/>
      <c r="C65" s="8"/>
      <c r="D65" s="8"/>
      <c r="E65" s="8"/>
      <c r="F65" s="30"/>
      <c r="G65" s="2"/>
      <c r="H65" s="2"/>
      <c r="I65" s="8"/>
      <c r="J65" s="8"/>
      <c r="K65" s="8"/>
    </row>
    <row r="66" spans="1:11" ht="15.75" customHeight="1" outlineLevel="1" x14ac:dyDescent="0.25">
      <c r="A66" s="8"/>
      <c r="B66" s="33"/>
      <c r="C66" s="8"/>
      <c r="D66" s="8"/>
      <c r="E66" s="8"/>
      <c r="F66" s="30"/>
      <c r="G66" s="2"/>
      <c r="H66" s="2"/>
      <c r="I66" s="8"/>
      <c r="J66" s="8"/>
      <c r="K66" s="8"/>
    </row>
    <row r="67" spans="1:11" ht="15.75" customHeight="1" outlineLevel="1" x14ac:dyDescent="0.25">
      <c r="A67" s="8"/>
      <c r="B67" s="33"/>
      <c r="C67" s="8"/>
      <c r="D67" s="8"/>
      <c r="E67" s="8"/>
      <c r="F67" s="30"/>
      <c r="G67" s="2"/>
      <c r="H67" s="2"/>
      <c r="I67" s="8"/>
      <c r="J67" s="8"/>
      <c r="K67" s="8"/>
    </row>
    <row r="68" spans="1:11" ht="15.75" customHeight="1" outlineLevel="1" x14ac:dyDescent="0.25">
      <c r="A68" s="8"/>
      <c r="B68" s="33"/>
      <c r="C68" s="8"/>
      <c r="D68" s="8"/>
      <c r="E68" s="8"/>
      <c r="F68" s="30"/>
      <c r="G68" s="2"/>
      <c r="H68" s="2"/>
      <c r="I68" s="8"/>
      <c r="J68" s="8"/>
      <c r="K68" s="8"/>
    </row>
    <row r="69" spans="1:11" ht="15.75" customHeight="1" outlineLevel="1" x14ac:dyDescent="0.25">
      <c r="A69" s="8"/>
      <c r="B69" s="33"/>
      <c r="C69" s="8"/>
      <c r="D69" s="8"/>
      <c r="E69" s="8"/>
      <c r="F69" s="30"/>
      <c r="G69" s="2"/>
      <c r="H69" s="2"/>
      <c r="I69" s="8"/>
      <c r="J69" s="8"/>
      <c r="K69" s="8"/>
    </row>
    <row r="70" spans="1:11" ht="15.75" customHeight="1" outlineLevel="1" x14ac:dyDescent="0.25">
      <c r="A70" s="8"/>
      <c r="B70" s="33"/>
      <c r="C70" s="8"/>
      <c r="D70" s="8"/>
      <c r="E70" s="8"/>
      <c r="F70" s="30"/>
      <c r="G70" s="2"/>
      <c r="H70" s="2"/>
      <c r="I70" s="8"/>
      <c r="J70" s="8"/>
      <c r="K70" s="8"/>
    </row>
    <row r="71" spans="1:11" ht="15.75" customHeight="1" outlineLevel="1" x14ac:dyDescent="0.25">
      <c r="A71" s="8"/>
      <c r="B71" s="33"/>
      <c r="C71" s="8"/>
      <c r="D71" s="8"/>
      <c r="E71" s="8"/>
      <c r="F71" s="30"/>
      <c r="G71" s="2"/>
      <c r="H71" s="2"/>
      <c r="I71" s="8"/>
      <c r="J71" s="8"/>
      <c r="K71" s="8"/>
    </row>
    <row r="72" spans="1:11" ht="15.75" customHeight="1" outlineLevel="1" x14ac:dyDescent="0.25">
      <c r="A72" s="8"/>
      <c r="B72" s="33"/>
      <c r="C72" s="8"/>
      <c r="D72" s="8"/>
      <c r="E72" s="8"/>
      <c r="F72" s="30"/>
      <c r="G72" s="2"/>
      <c r="H72" s="2"/>
      <c r="I72" s="8"/>
      <c r="J72" s="8"/>
      <c r="K72" s="8"/>
    </row>
    <row r="73" spans="1:11" ht="15.75" customHeight="1" outlineLevel="1" x14ac:dyDescent="0.25">
      <c r="A73" s="8"/>
      <c r="B73" s="33"/>
      <c r="C73" s="8"/>
      <c r="D73" s="8"/>
      <c r="E73" s="8"/>
      <c r="F73" s="30"/>
      <c r="G73" s="2"/>
      <c r="H73" s="2"/>
      <c r="I73" s="8"/>
      <c r="J73" s="8"/>
      <c r="K73" s="8"/>
    </row>
    <row r="74" spans="1:11" ht="15.75" customHeight="1" outlineLevel="1" x14ac:dyDescent="0.25">
      <c r="A74" s="8"/>
      <c r="B74" s="33"/>
      <c r="C74" s="8"/>
      <c r="D74" s="8"/>
      <c r="E74" s="8"/>
      <c r="F74" s="30"/>
      <c r="G74" s="2"/>
      <c r="H74" s="2"/>
      <c r="I74" s="8"/>
      <c r="J74" s="8"/>
      <c r="K74" s="8"/>
    </row>
    <row r="75" spans="1:11" ht="15.75" customHeight="1" outlineLevel="1" x14ac:dyDescent="0.25">
      <c r="A75" s="8"/>
      <c r="B75" s="33"/>
      <c r="C75" s="8"/>
      <c r="D75" s="8"/>
      <c r="E75" s="8"/>
      <c r="F75" s="30"/>
      <c r="G75" s="2"/>
      <c r="H75" s="2"/>
      <c r="I75" s="8"/>
      <c r="J75" s="8"/>
      <c r="K75" s="8"/>
    </row>
    <row r="76" spans="1:11" ht="15.75" customHeight="1" outlineLevel="1" x14ac:dyDescent="0.25">
      <c r="A76" s="8"/>
      <c r="B76" s="33"/>
      <c r="C76" s="8"/>
      <c r="D76" s="8"/>
      <c r="E76" s="8"/>
      <c r="F76" s="30"/>
      <c r="G76" s="2"/>
      <c r="H76" s="2"/>
      <c r="I76" s="8"/>
      <c r="J76" s="8"/>
      <c r="K76" s="8"/>
    </row>
    <row r="77" spans="1:11" ht="15.75" customHeight="1" outlineLevel="1" x14ac:dyDescent="0.25">
      <c r="A77" s="8"/>
      <c r="B77" s="33"/>
      <c r="C77" s="8"/>
      <c r="D77" s="8"/>
      <c r="E77" s="8"/>
      <c r="F77" s="30"/>
      <c r="G77" s="2"/>
      <c r="H77" s="2"/>
      <c r="I77" s="8"/>
      <c r="J77" s="8"/>
      <c r="K77" s="8"/>
    </row>
    <row r="78" spans="1:11" ht="15.75" customHeight="1" outlineLevel="1" x14ac:dyDescent="0.25">
      <c r="A78" s="8"/>
      <c r="B78" s="33"/>
      <c r="C78" s="8"/>
      <c r="D78" s="8"/>
      <c r="E78" s="8"/>
      <c r="F78" s="30"/>
      <c r="G78" s="2"/>
      <c r="H78" s="2"/>
      <c r="I78" s="8"/>
      <c r="J78" s="8"/>
      <c r="K78" s="8"/>
    </row>
    <row r="79" spans="1:11" ht="15.75" customHeight="1" outlineLevel="1" x14ac:dyDescent="0.25">
      <c r="A79" s="8"/>
      <c r="B79" s="33"/>
      <c r="C79" s="8"/>
      <c r="D79" s="8"/>
      <c r="E79" s="8"/>
      <c r="F79" s="30"/>
      <c r="G79" s="2"/>
      <c r="H79" s="2"/>
      <c r="I79" s="8"/>
      <c r="J79" s="8"/>
      <c r="K79" s="8"/>
    </row>
    <row r="80" spans="1:11" ht="15.75" customHeight="1" outlineLevel="1" x14ac:dyDescent="0.25">
      <c r="A80" s="8"/>
      <c r="B80" s="33"/>
      <c r="C80" s="8"/>
      <c r="D80" s="8"/>
      <c r="E80" s="8"/>
      <c r="F80" s="30"/>
      <c r="G80" s="2"/>
      <c r="H80" s="2"/>
      <c r="I80" s="8"/>
      <c r="J80" s="8"/>
      <c r="K80" s="8"/>
    </row>
    <row r="81" spans="1:11" ht="15.75" customHeight="1" outlineLevel="1" x14ac:dyDescent="0.25">
      <c r="A81" s="8"/>
      <c r="B81" s="33"/>
      <c r="C81" s="8"/>
      <c r="D81" s="8"/>
      <c r="E81" s="8"/>
      <c r="F81" s="30"/>
      <c r="G81" s="2"/>
      <c r="H81" s="2"/>
      <c r="I81" s="8"/>
      <c r="J81" s="8"/>
      <c r="K81" s="8"/>
    </row>
    <row r="82" spans="1:11" ht="15.75" customHeight="1" outlineLevel="1" x14ac:dyDescent="0.25">
      <c r="A82" s="8"/>
      <c r="B82" s="33"/>
      <c r="C82" s="8"/>
      <c r="D82" s="8"/>
      <c r="E82" s="8"/>
      <c r="F82" s="30"/>
      <c r="G82" s="2"/>
      <c r="H82" s="2"/>
      <c r="I82" s="8"/>
      <c r="J82" s="8"/>
      <c r="K82" s="8"/>
    </row>
    <row r="83" spans="1:11" ht="15.75" customHeight="1" outlineLevel="1" x14ac:dyDescent="0.25">
      <c r="A83" s="8"/>
      <c r="B83" s="33"/>
      <c r="C83" s="8"/>
      <c r="D83" s="8"/>
      <c r="E83" s="8"/>
      <c r="F83" s="30"/>
      <c r="G83" s="2"/>
      <c r="H83" s="2"/>
      <c r="I83" s="8"/>
      <c r="J83" s="8"/>
      <c r="K83" s="8"/>
    </row>
    <row r="84" spans="1:11" ht="15.75" customHeight="1" outlineLevel="1" x14ac:dyDescent="0.25">
      <c r="A84" s="8"/>
      <c r="B84" s="33"/>
      <c r="C84" s="8"/>
      <c r="D84" s="8"/>
      <c r="E84" s="8"/>
      <c r="F84" s="30"/>
      <c r="G84" s="2"/>
      <c r="H84" s="2"/>
      <c r="I84" s="8"/>
      <c r="J84" s="8"/>
      <c r="K84" s="8"/>
    </row>
    <row r="85" spans="1:11" ht="15.75" customHeight="1" outlineLevel="1" x14ac:dyDescent="0.25">
      <c r="A85" s="8"/>
      <c r="B85" s="33"/>
      <c r="C85" s="32"/>
      <c r="D85" s="8"/>
      <c r="E85" s="8"/>
      <c r="F85" s="30"/>
      <c r="G85" s="2"/>
      <c r="H85" s="2"/>
      <c r="I85" s="8"/>
      <c r="J85" s="8"/>
      <c r="K85" s="8"/>
    </row>
    <row r="86" spans="1:11" ht="15.75" customHeight="1" outlineLevel="1" x14ac:dyDescent="0.25">
      <c r="A86" s="8"/>
      <c r="B86" s="33"/>
      <c r="C86" s="8"/>
      <c r="D86" s="8"/>
      <c r="E86" s="8"/>
      <c r="F86" s="30"/>
      <c r="G86" s="2"/>
      <c r="H86" s="2"/>
      <c r="I86" s="8"/>
      <c r="J86" s="8"/>
      <c r="K86" s="8"/>
    </row>
    <row r="87" spans="1:11" ht="15.75" customHeight="1" outlineLevel="1" x14ac:dyDescent="0.25">
      <c r="A87" s="8"/>
      <c r="B87" s="33"/>
      <c r="C87" s="8"/>
      <c r="D87" s="8"/>
      <c r="E87" s="8"/>
      <c r="F87" s="30"/>
      <c r="G87" s="2"/>
      <c r="H87" s="2"/>
      <c r="I87" s="8"/>
      <c r="J87" s="8"/>
      <c r="K87" s="8"/>
    </row>
    <row r="88" spans="1:11" ht="15.75" customHeight="1" outlineLevel="1" x14ac:dyDescent="0.25">
      <c r="A88" s="8"/>
      <c r="B88" s="33"/>
      <c r="C88" s="8"/>
      <c r="D88" s="8"/>
      <c r="E88" s="8"/>
      <c r="F88" s="30"/>
      <c r="G88" s="2"/>
      <c r="H88" s="2"/>
      <c r="I88" s="8"/>
      <c r="J88" s="8"/>
      <c r="K88" s="8"/>
    </row>
    <row r="89" spans="1:11" ht="18.75" customHeight="1" x14ac:dyDescent="0.25">
      <c r="A89" s="8"/>
      <c r="B89" s="8"/>
      <c r="D89" s="8"/>
      <c r="E89" s="8"/>
      <c r="F89" s="31"/>
      <c r="G89" s="2"/>
      <c r="H89" s="2"/>
      <c r="I89" s="8"/>
      <c r="J89" s="8"/>
      <c r="K89" s="8"/>
    </row>
    <row r="90" spans="1:11" ht="15.75" hidden="1" customHeight="1" outlineLevel="1" x14ac:dyDescent="0.25">
      <c r="A90" s="8"/>
      <c r="B90" s="8"/>
      <c r="C90" s="8"/>
      <c r="D90" s="8"/>
      <c r="E90" s="8"/>
      <c r="F90" s="30"/>
      <c r="G90" s="2"/>
      <c r="H90" s="2"/>
      <c r="I90" s="8"/>
      <c r="J90" s="8"/>
      <c r="K90" s="8"/>
    </row>
    <row r="91" spans="1:11" ht="15.75" hidden="1" customHeight="1" outlineLevel="1" x14ac:dyDescent="0.25">
      <c r="A91" s="8"/>
      <c r="B91" s="8"/>
      <c r="C91" s="8"/>
      <c r="D91" s="8"/>
      <c r="E91" s="8"/>
      <c r="F91" s="30"/>
      <c r="G91" s="2"/>
      <c r="H91" s="2"/>
      <c r="I91" s="8"/>
      <c r="J91" s="8"/>
      <c r="K91" s="8"/>
    </row>
    <row r="92" spans="1:11" ht="15.75" hidden="1" customHeight="1" outlineLevel="1" x14ac:dyDescent="0.25">
      <c r="A92" s="8"/>
      <c r="B92" s="8"/>
      <c r="C92" s="8"/>
      <c r="D92" s="8"/>
      <c r="E92" s="8"/>
      <c r="F92" s="30"/>
      <c r="G92" s="2"/>
      <c r="H92" s="2"/>
      <c r="I92" s="8"/>
      <c r="J92" s="8"/>
      <c r="K92" s="8"/>
    </row>
    <row r="93" spans="1:11" ht="15.75" hidden="1" customHeight="1" outlineLevel="1" x14ac:dyDescent="0.25">
      <c r="A93" s="8"/>
      <c r="B93" s="8"/>
      <c r="C93" s="8"/>
      <c r="D93" s="8"/>
      <c r="E93" s="8"/>
      <c r="F93" s="30"/>
      <c r="G93" s="2"/>
      <c r="H93" s="2"/>
      <c r="I93" s="8"/>
      <c r="J93" s="8"/>
      <c r="K93" s="8"/>
    </row>
    <row r="94" spans="1:11" ht="15.75" hidden="1" customHeight="1" outlineLevel="1" x14ac:dyDescent="0.25">
      <c r="A94" s="8"/>
      <c r="B94" s="8"/>
      <c r="C94" s="8"/>
      <c r="D94" s="8"/>
      <c r="E94" s="8"/>
      <c r="F94" s="30"/>
      <c r="G94" s="2"/>
      <c r="H94" s="2"/>
      <c r="I94" s="8"/>
      <c r="J94" s="8"/>
      <c r="K94" s="8"/>
    </row>
    <row r="95" spans="1:11" ht="15.75" hidden="1" customHeight="1" outlineLevel="1" x14ac:dyDescent="0.25">
      <c r="A95" s="8"/>
      <c r="B95" s="8"/>
      <c r="C95" s="8"/>
      <c r="D95" s="8"/>
      <c r="E95" s="8"/>
      <c r="F95" s="30"/>
      <c r="G95" s="2"/>
      <c r="H95" s="2"/>
      <c r="I95" s="8"/>
      <c r="J95" s="8"/>
      <c r="K95" s="8"/>
    </row>
    <row r="96" spans="1:11" ht="15.75" customHeight="1" collapsed="1" x14ac:dyDescent="0.25">
      <c r="A96" s="8"/>
      <c r="B96" s="8"/>
      <c r="C96" s="8"/>
      <c r="D96" s="8"/>
      <c r="E96" s="8"/>
      <c r="F96" s="31"/>
      <c r="G96" s="2"/>
      <c r="H96" s="2"/>
      <c r="I96" s="8"/>
      <c r="J96" s="8"/>
      <c r="K96" s="8"/>
    </row>
    <row r="97" spans="1:11" ht="15.75" hidden="1" customHeight="1" outlineLevel="1" x14ac:dyDescent="0.25">
      <c r="A97" s="8"/>
      <c r="B97" s="8"/>
      <c r="C97" s="8"/>
      <c r="D97" s="8"/>
      <c r="E97" s="8"/>
      <c r="F97" s="30"/>
      <c r="G97" s="2"/>
      <c r="H97" s="2"/>
      <c r="I97" s="8"/>
      <c r="J97" s="8"/>
      <c r="K97" s="8"/>
    </row>
    <row r="98" spans="1:11" ht="15.75" hidden="1" customHeight="1" outlineLevel="1" x14ac:dyDescent="0.25">
      <c r="A98" s="8"/>
      <c r="B98" s="8"/>
      <c r="C98" s="8"/>
      <c r="D98" s="8"/>
      <c r="E98" s="8"/>
      <c r="F98" s="31"/>
      <c r="G98" s="2"/>
      <c r="H98" s="2"/>
      <c r="I98" s="8"/>
      <c r="J98" s="8"/>
      <c r="K98" s="8"/>
    </row>
    <row r="99" spans="1:11" ht="15.75" hidden="1" customHeight="1" outlineLevel="1" x14ac:dyDescent="0.25">
      <c r="A99" s="8"/>
      <c r="B99" s="8"/>
      <c r="C99" s="8"/>
      <c r="D99" s="8"/>
      <c r="E99" s="8"/>
      <c r="F99" s="30"/>
      <c r="G99" s="2"/>
      <c r="H99" s="2"/>
      <c r="I99" s="8"/>
      <c r="J99" s="8"/>
      <c r="K99" s="8"/>
    </row>
    <row r="100" spans="1:11" ht="15.75" hidden="1" customHeight="1" outlineLevel="1" x14ac:dyDescent="0.25">
      <c r="A100" s="8"/>
      <c r="B100" s="8"/>
      <c r="C100" s="8"/>
      <c r="D100" s="8"/>
      <c r="E100" s="8"/>
      <c r="F100" s="30"/>
      <c r="G100" s="2"/>
      <c r="H100" s="2"/>
      <c r="I100" s="8"/>
      <c r="J100" s="8"/>
      <c r="K100" s="8"/>
    </row>
    <row r="101" spans="1:11" ht="15.75" hidden="1" customHeight="1" outlineLevel="1" x14ac:dyDescent="0.25">
      <c r="A101" s="8"/>
      <c r="B101" s="8"/>
      <c r="C101" s="8"/>
      <c r="D101" s="8"/>
      <c r="E101" s="8"/>
      <c r="F101" s="30"/>
      <c r="G101" s="2"/>
      <c r="H101" s="2"/>
      <c r="I101" s="8"/>
      <c r="J101" s="8"/>
      <c r="K101" s="8"/>
    </row>
    <row r="102" spans="1:11" ht="15.75" hidden="1" customHeight="1" outlineLevel="1" x14ac:dyDescent="0.25">
      <c r="A102" s="8"/>
      <c r="B102" s="8"/>
      <c r="C102" s="8"/>
      <c r="D102" s="8"/>
      <c r="E102" s="8"/>
      <c r="F102" s="30"/>
      <c r="G102" s="2"/>
      <c r="H102" s="2"/>
      <c r="I102" s="8"/>
      <c r="J102" s="8"/>
      <c r="K102" s="8"/>
    </row>
    <row r="103" spans="1:11" ht="15.75" hidden="1" customHeight="1" outlineLevel="1" x14ac:dyDescent="0.25">
      <c r="A103" s="8"/>
      <c r="B103" s="8"/>
      <c r="C103" s="8"/>
      <c r="D103" s="8"/>
      <c r="E103" s="8"/>
      <c r="F103" s="30"/>
      <c r="G103" s="2"/>
      <c r="H103" s="2"/>
      <c r="I103" s="8"/>
      <c r="J103" s="8"/>
      <c r="K103" s="8"/>
    </row>
    <row r="104" spans="1:11" ht="15.75" hidden="1" customHeight="1" outlineLevel="1" x14ac:dyDescent="0.25">
      <c r="A104" s="8"/>
      <c r="B104" s="8"/>
      <c r="C104" s="8"/>
      <c r="D104" s="8"/>
      <c r="E104" s="8"/>
      <c r="F104" s="30"/>
      <c r="G104" s="2"/>
      <c r="H104" s="2"/>
      <c r="I104" s="8"/>
      <c r="J104" s="8"/>
      <c r="K104" s="8"/>
    </row>
    <row r="105" spans="1:11" ht="15.75" hidden="1" customHeight="1" outlineLevel="1" x14ac:dyDescent="0.25">
      <c r="A105" s="8"/>
      <c r="B105" s="8"/>
      <c r="C105" s="8"/>
      <c r="D105" s="8"/>
      <c r="E105" s="8"/>
      <c r="F105" s="30"/>
      <c r="G105" s="2"/>
      <c r="H105" s="2"/>
      <c r="I105" s="8"/>
      <c r="J105" s="8"/>
      <c r="K105" s="8"/>
    </row>
    <row r="106" spans="1:11" ht="15.75" customHeight="1" outlineLevel="1" x14ac:dyDescent="0.25">
      <c r="A106" s="8"/>
      <c r="B106" s="8"/>
      <c r="C106" s="8"/>
      <c r="D106" s="8"/>
      <c r="E106" s="8"/>
      <c r="F106" s="31"/>
      <c r="G106" s="2"/>
      <c r="H106" s="2"/>
      <c r="I106" s="8"/>
      <c r="J106" s="8"/>
      <c r="K106" s="8"/>
    </row>
    <row r="107" spans="1:11" ht="15.75" customHeight="1" outlineLevel="1" x14ac:dyDescent="0.25">
      <c r="A107" s="8"/>
      <c r="B107" s="8"/>
      <c r="C107" s="8"/>
      <c r="D107" s="8"/>
      <c r="E107" s="8"/>
      <c r="F107" s="30"/>
      <c r="G107" s="2"/>
      <c r="H107" s="2"/>
      <c r="I107" s="8"/>
      <c r="J107" s="8"/>
      <c r="K107" s="8"/>
    </row>
    <row r="108" spans="1:11" ht="15.75" customHeight="1" outlineLevel="1" x14ac:dyDescent="0.25">
      <c r="A108" s="8"/>
      <c r="B108" s="8"/>
      <c r="C108" s="8"/>
      <c r="D108" s="8"/>
      <c r="E108" s="8"/>
      <c r="F108" s="30"/>
      <c r="G108" s="2"/>
      <c r="H108" s="2"/>
      <c r="I108" s="8"/>
      <c r="J108" s="8"/>
      <c r="K108" s="8"/>
    </row>
    <row r="109" spans="1:11" ht="15.75" customHeight="1" outlineLevel="1" x14ac:dyDescent="0.25">
      <c r="A109" s="8"/>
      <c r="B109" s="8"/>
      <c r="C109" s="8"/>
      <c r="D109" s="8"/>
      <c r="E109" s="8"/>
      <c r="F109" s="30"/>
      <c r="G109" s="2"/>
      <c r="H109" s="2"/>
      <c r="I109" s="8"/>
      <c r="J109" s="8"/>
      <c r="K109" s="8"/>
    </row>
    <row r="110" spans="1:11" ht="15.75" customHeight="1" outlineLevel="1" x14ac:dyDescent="0.25">
      <c r="A110" s="8"/>
      <c r="B110" s="8"/>
      <c r="C110" s="8"/>
      <c r="D110" s="8"/>
      <c r="E110" s="8"/>
      <c r="F110" s="30"/>
      <c r="G110" s="2"/>
      <c r="H110" s="2"/>
      <c r="I110" s="8"/>
      <c r="J110" s="8"/>
      <c r="K110" s="8"/>
    </row>
    <row r="111" spans="1:11" ht="15.75" customHeight="1" outlineLevel="1" x14ac:dyDescent="0.25">
      <c r="A111" s="8"/>
      <c r="B111" s="8"/>
      <c r="C111" s="8"/>
      <c r="D111" s="8"/>
      <c r="E111" s="8"/>
      <c r="F111" s="30"/>
      <c r="G111" s="2"/>
      <c r="H111" s="2"/>
      <c r="I111" s="8"/>
      <c r="J111" s="8"/>
      <c r="K111" s="8"/>
    </row>
    <row r="112" spans="1:11" ht="15.75" customHeight="1" outlineLevel="1" x14ac:dyDescent="0.25">
      <c r="A112" s="8"/>
      <c r="B112" s="8"/>
      <c r="C112" s="8"/>
      <c r="D112" s="8"/>
      <c r="E112" s="8"/>
      <c r="F112" s="31"/>
      <c r="G112" s="2"/>
      <c r="H112" s="2"/>
      <c r="I112" s="8"/>
      <c r="J112" s="8"/>
      <c r="K112" s="8"/>
    </row>
    <row r="113" spans="1:11" ht="15.75" customHeight="1" outlineLevel="1" x14ac:dyDescent="0.25">
      <c r="A113" s="8"/>
      <c r="B113" s="8"/>
      <c r="C113" s="8"/>
      <c r="D113" s="8"/>
      <c r="E113" s="8"/>
      <c r="F113" s="31"/>
      <c r="G113" s="2"/>
      <c r="H113" s="2"/>
      <c r="I113" s="8"/>
      <c r="J113" s="8"/>
      <c r="K113" s="8"/>
    </row>
    <row r="114" spans="1:11" ht="15.75" customHeight="1" outlineLevel="1" x14ac:dyDescent="0.25">
      <c r="A114" s="8"/>
      <c r="B114" s="8"/>
      <c r="C114" s="8"/>
      <c r="D114" s="8"/>
      <c r="E114" s="8"/>
      <c r="F114" s="31"/>
      <c r="G114" s="2"/>
      <c r="H114" s="2"/>
      <c r="I114" s="8"/>
      <c r="J114" s="8"/>
      <c r="K114" s="8"/>
    </row>
    <row r="115" spans="1:11" ht="15.75" customHeight="1" outlineLevel="1" x14ac:dyDescent="0.25">
      <c r="A115" s="8"/>
      <c r="B115" s="8"/>
      <c r="C115" s="8"/>
      <c r="D115" s="8"/>
      <c r="E115" s="8"/>
      <c r="F115" s="31"/>
      <c r="G115" s="2"/>
      <c r="H115" s="2"/>
      <c r="I115" s="8"/>
      <c r="J115" s="8"/>
      <c r="K115" s="8"/>
    </row>
    <row r="116" spans="1:11" ht="15.75" customHeight="1" outlineLevel="1" x14ac:dyDescent="0.25">
      <c r="A116" s="8"/>
      <c r="B116" s="8"/>
      <c r="C116" s="8"/>
      <c r="D116" s="8"/>
      <c r="E116" s="8"/>
      <c r="F116" s="30"/>
      <c r="G116" s="2"/>
      <c r="H116" s="2"/>
      <c r="I116" s="8"/>
      <c r="J116" s="8"/>
      <c r="K116" s="8"/>
    </row>
    <row r="117" spans="1:11" ht="15.75" customHeight="1" outlineLevel="1" x14ac:dyDescent="0.25">
      <c r="A117" s="8"/>
      <c r="B117" s="8"/>
      <c r="C117" s="8"/>
      <c r="D117" s="8"/>
      <c r="E117" s="8"/>
      <c r="F117" s="30"/>
      <c r="G117" s="2"/>
      <c r="H117" s="2"/>
      <c r="I117" s="8"/>
      <c r="J117" s="8"/>
      <c r="K117" s="8"/>
    </row>
    <row r="118" spans="1:11" ht="15.75" customHeight="1" x14ac:dyDescent="0.25">
      <c r="C118" s="8"/>
    </row>
    <row r="119" spans="1:11" ht="15.75" hidden="1" customHeight="1" outlineLevel="1" x14ac:dyDescent="0.25">
      <c r="A119" s="8"/>
      <c r="B119" s="8"/>
      <c r="C119" s="8"/>
      <c r="D119" s="8"/>
      <c r="E119" s="8"/>
      <c r="F119" s="31"/>
      <c r="G119" s="2"/>
      <c r="H119" s="2"/>
      <c r="I119" s="8"/>
      <c r="J119" s="8"/>
      <c r="K119" s="8"/>
    </row>
    <row r="120" spans="1:11" ht="15.75" hidden="1" customHeight="1" outlineLevel="1" x14ac:dyDescent="0.25">
      <c r="A120" s="8"/>
      <c r="B120" s="8"/>
      <c r="C120" s="8"/>
      <c r="D120" s="8"/>
      <c r="E120" s="8"/>
      <c r="F120" s="30"/>
      <c r="G120" s="2"/>
      <c r="H120" s="2"/>
      <c r="I120" s="8"/>
      <c r="J120" s="8"/>
      <c r="K120" s="8"/>
    </row>
    <row r="121" spans="1:11" ht="15.75" hidden="1" customHeight="1" outlineLevel="1" x14ac:dyDescent="0.25">
      <c r="A121" s="8"/>
      <c r="B121" s="8"/>
      <c r="C121" s="8"/>
      <c r="D121" s="8"/>
      <c r="E121" s="8"/>
      <c r="F121" s="30"/>
      <c r="G121" s="2"/>
      <c r="H121" s="2"/>
      <c r="I121" s="8"/>
      <c r="J121" s="8"/>
      <c r="K121" s="8"/>
    </row>
    <row r="122" spans="1:11" ht="15.75" hidden="1" customHeight="1" outlineLevel="1" x14ac:dyDescent="0.25">
      <c r="A122" s="8"/>
      <c r="B122" s="8"/>
      <c r="C122" s="8"/>
      <c r="D122" s="8"/>
      <c r="E122" s="8"/>
      <c r="F122" s="30"/>
      <c r="G122" s="2"/>
      <c r="H122" s="2"/>
      <c r="I122" s="8"/>
      <c r="J122" s="8"/>
      <c r="K122" s="8"/>
    </row>
    <row r="123" spans="1:11" ht="15.75" hidden="1" customHeight="1" outlineLevel="1" x14ac:dyDescent="0.25">
      <c r="A123" s="8"/>
      <c r="B123" s="8"/>
      <c r="C123" s="8"/>
      <c r="D123" s="8"/>
      <c r="E123" s="8"/>
      <c r="F123" s="30"/>
      <c r="G123" s="2"/>
      <c r="H123" s="2"/>
      <c r="I123" s="8"/>
      <c r="J123" s="8"/>
      <c r="K123" s="8"/>
    </row>
    <row r="124" spans="1:11" ht="15.75" hidden="1" customHeight="1" outlineLevel="1" x14ac:dyDescent="0.25">
      <c r="A124" s="8"/>
      <c r="B124" s="8"/>
      <c r="C124" s="8"/>
      <c r="D124" s="8"/>
      <c r="E124" s="8"/>
      <c r="F124" s="30"/>
      <c r="G124" s="2"/>
      <c r="H124" s="2"/>
      <c r="I124" s="8"/>
      <c r="J124" s="8"/>
      <c r="K124" s="8"/>
    </row>
    <row r="125" spans="1:11" ht="15.75" hidden="1" customHeight="1" outlineLevel="1" x14ac:dyDescent="0.25">
      <c r="A125" s="8"/>
      <c r="B125" s="8"/>
      <c r="C125" s="8"/>
      <c r="D125" s="8"/>
      <c r="E125" s="8"/>
      <c r="F125" s="30"/>
      <c r="G125" s="2"/>
      <c r="H125" s="2"/>
      <c r="I125" s="8"/>
      <c r="J125" s="8"/>
      <c r="K125" s="8"/>
    </row>
    <row r="126" spans="1:11" ht="15.75" hidden="1" customHeight="1" outlineLevel="1" x14ac:dyDescent="0.25">
      <c r="A126" s="8"/>
      <c r="B126" s="8"/>
      <c r="C126" s="8"/>
      <c r="D126" s="8"/>
      <c r="E126" s="8"/>
      <c r="F126" s="30"/>
      <c r="G126" s="2"/>
      <c r="H126" s="2"/>
      <c r="I126" s="8"/>
      <c r="J126" s="8"/>
      <c r="K126" s="8"/>
    </row>
    <row r="127" spans="1:11" ht="15.75" customHeight="1" collapsed="1" x14ac:dyDescent="0.25">
      <c r="A127" s="8"/>
      <c r="B127" s="8"/>
      <c r="C127" s="8"/>
      <c r="D127" s="8"/>
      <c r="E127" s="8"/>
      <c r="F127" s="31"/>
      <c r="G127" s="2"/>
      <c r="H127" s="2"/>
      <c r="I127" s="8"/>
      <c r="J127" s="8"/>
      <c r="K127" s="8"/>
    </row>
    <row r="128" spans="1:11" ht="15.75" hidden="1" customHeight="1" outlineLevel="1" x14ac:dyDescent="0.25">
      <c r="A128" s="8"/>
      <c r="B128" s="8"/>
      <c r="C128" s="8"/>
      <c r="D128" s="8"/>
      <c r="E128" s="8"/>
      <c r="F128" s="31"/>
      <c r="G128" s="2"/>
      <c r="H128" s="2"/>
      <c r="I128" s="8"/>
      <c r="J128" s="8"/>
      <c r="K128" s="8"/>
    </row>
    <row r="129" spans="1:11" ht="15.75" hidden="1" customHeight="1" outlineLevel="1" x14ac:dyDescent="0.25">
      <c r="A129" s="8"/>
      <c r="B129" s="8"/>
      <c r="C129" s="8"/>
      <c r="D129" s="8"/>
      <c r="E129" s="8"/>
      <c r="F129" s="31"/>
      <c r="G129" s="2"/>
      <c r="H129" s="2"/>
      <c r="I129" s="8"/>
      <c r="J129" s="8"/>
      <c r="K129" s="8"/>
    </row>
    <row r="130" spans="1:11" ht="15.75" hidden="1" customHeight="1" outlineLevel="1" x14ac:dyDescent="0.25">
      <c r="A130" s="8"/>
      <c r="B130" s="8"/>
      <c r="C130" s="8"/>
      <c r="D130" s="8"/>
      <c r="E130" s="8"/>
      <c r="F130" s="30"/>
      <c r="G130" s="2"/>
      <c r="H130" s="2"/>
      <c r="I130" s="8"/>
      <c r="J130" s="8"/>
      <c r="K130" s="8"/>
    </row>
    <row r="131" spans="1:11" ht="15.75" hidden="1" customHeight="1" outlineLevel="1" x14ac:dyDescent="0.25">
      <c r="A131" s="8"/>
      <c r="B131" s="8"/>
      <c r="C131" s="8"/>
      <c r="D131" s="8"/>
      <c r="E131" s="8"/>
      <c r="F131" s="30"/>
      <c r="G131" s="2"/>
      <c r="H131" s="2"/>
      <c r="I131" s="8"/>
      <c r="J131" s="8"/>
      <c r="K131" s="8"/>
    </row>
    <row r="132" spans="1:11" ht="15.75" hidden="1" customHeight="1" outlineLevel="1" x14ac:dyDescent="0.25">
      <c r="A132" s="8"/>
      <c r="B132" s="8"/>
      <c r="C132" s="8"/>
      <c r="D132" s="8"/>
      <c r="E132" s="8"/>
      <c r="F132" s="30"/>
      <c r="G132" s="2"/>
      <c r="H132" s="2"/>
      <c r="I132" s="8"/>
      <c r="J132" s="8"/>
      <c r="K132" s="8"/>
    </row>
    <row r="133" spans="1:11" ht="15.75" hidden="1" customHeight="1" outlineLevel="1" x14ac:dyDescent="0.25">
      <c r="A133" s="8"/>
      <c r="B133" s="8"/>
      <c r="C133" s="8"/>
      <c r="D133" s="8"/>
      <c r="E133" s="8"/>
      <c r="F133" s="31"/>
      <c r="G133" s="2"/>
      <c r="H133" s="2"/>
      <c r="I133" s="8"/>
      <c r="J133" s="8"/>
      <c r="K133" s="8"/>
    </row>
    <row r="134" spans="1:11" ht="15.75" hidden="1" customHeight="1" outlineLevel="1" x14ac:dyDescent="0.25">
      <c r="A134" s="8"/>
      <c r="B134" s="8"/>
      <c r="C134" s="8"/>
      <c r="D134" s="8"/>
      <c r="E134" s="8"/>
      <c r="F134" s="30"/>
      <c r="G134" s="2"/>
      <c r="H134" s="2"/>
      <c r="I134" s="8"/>
      <c r="J134" s="8"/>
      <c r="K134" s="8"/>
    </row>
    <row r="135" spans="1:11" ht="15.75" customHeight="1" outlineLevel="1" x14ac:dyDescent="0.25">
      <c r="A135" s="8"/>
      <c r="B135" s="8"/>
      <c r="C135" s="8"/>
      <c r="D135" s="8"/>
      <c r="E135" s="8"/>
      <c r="F135" s="30"/>
      <c r="G135" s="2"/>
      <c r="H135" s="2"/>
      <c r="I135" s="8"/>
      <c r="J135" s="8"/>
      <c r="K135" s="8"/>
    </row>
    <row r="136" spans="1:11" ht="15.75" customHeight="1" outlineLevel="1" x14ac:dyDescent="0.25">
      <c r="A136" s="8"/>
      <c r="B136" s="8"/>
      <c r="C136" s="8"/>
      <c r="D136" s="8"/>
      <c r="E136" s="8"/>
      <c r="F136" s="30"/>
      <c r="G136" s="2"/>
      <c r="H136" s="2"/>
      <c r="I136" s="8"/>
      <c r="J136" s="8"/>
      <c r="K136" s="8"/>
    </row>
    <row r="137" spans="1:11" ht="15.75" customHeight="1" outlineLevel="1" x14ac:dyDescent="0.25">
      <c r="A137" s="8"/>
      <c r="B137" s="8"/>
      <c r="C137" s="8"/>
      <c r="D137" s="8"/>
      <c r="E137" s="8"/>
      <c r="F137" s="30"/>
      <c r="G137" s="2"/>
      <c r="H137" s="2"/>
      <c r="I137" s="8"/>
      <c r="J137" s="8"/>
      <c r="K137" s="8"/>
    </row>
    <row r="138" spans="1:11" ht="15.75" customHeight="1" outlineLevel="1" x14ac:dyDescent="0.25">
      <c r="A138" s="8"/>
      <c r="B138" s="8"/>
      <c r="C138" s="8"/>
      <c r="D138" s="8"/>
      <c r="E138" s="8"/>
      <c r="F138" s="30"/>
      <c r="G138" s="2"/>
      <c r="H138" s="2"/>
      <c r="I138" s="8"/>
      <c r="J138" s="8"/>
      <c r="K138" s="8"/>
    </row>
    <row r="139" spans="1:11" ht="15.75" customHeight="1" outlineLevel="1" x14ac:dyDescent="0.25">
      <c r="A139" s="8"/>
      <c r="B139" s="8"/>
      <c r="C139" s="8"/>
      <c r="D139" s="8"/>
      <c r="E139" s="8"/>
      <c r="F139" s="31"/>
      <c r="G139" s="2"/>
      <c r="H139" s="2"/>
      <c r="I139" s="8"/>
      <c r="J139" s="8"/>
      <c r="K139" s="8"/>
    </row>
    <row r="140" spans="1:11" ht="15.75" customHeight="1" x14ac:dyDescent="0.25">
      <c r="A140" s="8"/>
      <c r="B140" s="8"/>
      <c r="C140" s="8"/>
      <c r="D140" s="8"/>
      <c r="E140" s="8"/>
      <c r="F140" s="31"/>
      <c r="G140" s="2"/>
      <c r="H140" s="2"/>
      <c r="I140" s="8"/>
      <c r="J140" s="8"/>
      <c r="K140" s="8"/>
    </row>
    <row r="141" spans="1:11" ht="15.75" hidden="1" customHeight="1" outlineLevel="1" x14ac:dyDescent="0.25">
      <c r="A141" s="8"/>
      <c r="B141" s="8"/>
      <c r="C141" s="8"/>
      <c r="D141" s="8"/>
      <c r="E141" s="8"/>
      <c r="F141" s="30"/>
      <c r="G141" s="2"/>
      <c r="H141" s="2"/>
      <c r="I141" s="8"/>
      <c r="J141" s="8"/>
      <c r="K141" s="8"/>
    </row>
    <row r="142" spans="1:11" ht="15.75" hidden="1" customHeight="1" outlineLevel="1" x14ac:dyDescent="0.25">
      <c r="A142" s="8"/>
      <c r="B142" s="8"/>
      <c r="C142" s="8"/>
      <c r="D142" s="8"/>
      <c r="E142" s="8"/>
      <c r="F142" s="30"/>
      <c r="G142" s="2"/>
      <c r="H142" s="2"/>
      <c r="I142" s="8"/>
      <c r="J142" s="8"/>
      <c r="K142" s="8"/>
    </row>
    <row r="143" spans="1:11" ht="15.75" hidden="1" customHeight="1" outlineLevel="1" x14ac:dyDescent="0.25">
      <c r="A143" s="8"/>
      <c r="B143" s="8"/>
      <c r="C143" s="8"/>
      <c r="D143" s="8"/>
      <c r="E143" s="8"/>
      <c r="F143" s="30"/>
      <c r="G143" s="2"/>
      <c r="H143" s="2"/>
      <c r="I143" s="8"/>
      <c r="J143" s="8"/>
      <c r="K143" s="8"/>
    </row>
    <row r="144" spans="1:11" ht="15.75" hidden="1" customHeight="1" outlineLevel="1" x14ac:dyDescent="0.25">
      <c r="A144" s="8"/>
      <c r="B144" s="8"/>
      <c r="C144" s="8"/>
      <c r="D144" s="8"/>
      <c r="E144" s="8"/>
      <c r="F144" s="30"/>
      <c r="G144" s="2"/>
      <c r="H144" s="2"/>
      <c r="I144" s="8"/>
      <c r="J144" s="8"/>
      <c r="K144" s="8"/>
    </row>
    <row r="145" spans="1:11" ht="15.75" hidden="1" customHeight="1" outlineLevel="1" x14ac:dyDescent="0.25">
      <c r="A145" s="8"/>
      <c r="B145" s="8"/>
      <c r="C145" s="8"/>
      <c r="D145" s="8"/>
      <c r="E145" s="8"/>
      <c r="F145" s="30"/>
      <c r="G145" s="2"/>
      <c r="H145" s="2"/>
      <c r="I145" s="8"/>
      <c r="J145" s="8"/>
      <c r="K145" s="8"/>
    </row>
    <row r="146" spans="1:11" ht="15.75" hidden="1" customHeight="1" outlineLevel="1" x14ac:dyDescent="0.25">
      <c r="A146" s="8"/>
      <c r="B146" s="8"/>
      <c r="C146" s="8"/>
      <c r="D146" s="8"/>
      <c r="E146" s="8"/>
      <c r="F146" s="30"/>
      <c r="G146" s="2"/>
      <c r="H146" s="2"/>
      <c r="I146" s="8"/>
      <c r="J146" s="8"/>
      <c r="K146" s="8"/>
    </row>
    <row r="147" spans="1:11" ht="15.75" hidden="1" customHeight="1" outlineLevel="1" x14ac:dyDescent="0.25">
      <c r="A147" s="8"/>
      <c r="B147" s="8"/>
      <c r="C147" s="8"/>
      <c r="D147" s="8"/>
      <c r="E147" s="8"/>
      <c r="F147" s="30"/>
      <c r="G147" s="2"/>
      <c r="H147" s="2"/>
      <c r="I147" s="8"/>
      <c r="J147" s="8"/>
      <c r="K147" s="8"/>
    </row>
    <row r="148" spans="1:11" ht="15.75" hidden="1" customHeight="1" outlineLevel="1" x14ac:dyDescent="0.25">
      <c r="A148" s="8"/>
      <c r="B148" s="8"/>
      <c r="C148" s="8"/>
      <c r="D148" s="8"/>
      <c r="E148" s="8"/>
      <c r="F148" s="30"/>
      <c r="G148" s="2"/>
      <c r="H148" s="2"/>
      <c r="I148" s="8"/>
      <c r="J148" s="8"/>
      <c r="K148" s="8"/>
    </row>
    <row r="149" spans="1:11" ht="15.75" customHeight="1" collapsed="1" x14ac:dyDescent="0.25">
      <c r="A149" s="8"/>
      <c r="B149" s="8"/>
      <c r="C149" s="8"/>
      <c r="D149" s="8"/>
      <c r="E149" s="8"/>
      <c r="F149" s="31"/>
      <c r="G149" s="2"/>
      <c r="H149" s="2"/>
      <c r="I149" s="8"/>
      <c r="J149" s="8"/>
      <c r="K149" s="8"/>
    </row>
    <row r="150" spans="1:11" ht="15.75" customHeight="1" x14ac:dyDescent="0.25"/>
    <row r="151" spans="1:11" ht="15.75" customHeight="1" x14ac:dyDescent="0.25"/>
    <row r="152" spans="1:11" ht="15.75" customHeight="1" x14ac:dyDescent="0.25"/>
    <row r="153" spans="1:11" ht="15.75" customHeight="1" x14ac:dyDescent="0.25"/>
    <row r="154" spans="1:11" ht="15.75" customHeight="1" x14ac:dyDescent="0.25"/>
    <row r="155" spans="1:11" ht="15.75" customHeight="1" x14ac:dyDescent="0.25"/>
    <row r="156" spans="1:11" ht="15.75" customHeight="1" x14ac:dyDescent="0.25"/>
    <row r="157" spans="1:11" ht="15.75" customHeight="1" x14ac:dyDescent="0.25"/>
    <row r="158" spans="1:11" ht="15.75" customHeight="1" x14ac:dyDescent="0.25"/>
    <row r="159" spans="1:11" ht="15.75" customHeight="1" x14ac:dyDescent="0.25"/>
    <row r="160" spans="1:11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autoFilter ref="A1:F149" xr:uid="{00000000-0009-0000-0000-000001000000}"/>
  <mergeCells count="1">
    <mergeCell ref="I1:K1"/>
  </mergeCells>
  <phoneticPr fontId="19" type="noConversion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zoomScale="130" zoomScaleNormal="130" workbookViewId="0">
      <selection activeCell="G2" sqref="G2"/>
    </sheetView>
  </sheetViews>
  <sheetFormatPr defaultColWidth="14.42578125" defaultRowHeight="15" customHeight="1" x14ac:dyDescent="0.25"/>
  <cols>
    <col min="1" max="1" width="8.7109375" customWidth="1"/>
    <col min="2" max="2" width="32.42578125" customWidth="1"/>
    <col min="3" max="3" width="35.5703125" customWidth="1"/>
    <col min="4" max="6" width="8.7109375" customWidth="1"/>
    <col min="7" max="7" width="28" customWidth="1"/>
    <col min="8" max="8" width="12.42578125" customWidth="1"/>
    <col min="9" max="26" width="8.7109375" customWidth="1"/>
  </cols>
  <sheetData>
    <row r="1" spans="1:8" x14ac:dyDescent="0.25">
      <c r="A1" s="34"/>
      <c r="B1" s="35" t="s">
        <v>41</v>
      </c>
      <c r="C1" s="87" t="s">
        <v>152</v>
      </c>
      <c r="D1" s="36"/>
      <c r="E1" s="37"/>
      <c r="F1" s="35" t="s">
        <v>42</v>
      </c>
      <c r="G1" s="38" t="str">
        <f ca="1">RIGHT(CELL("имяфайла",K1),LEN(CELL("имяфайла",K1))-SEARCH("]",CELL("имяфайла",K1)))</f>
        <v>Тест-кейс 1 Столярж</v>
      </c>
      <c r="H1" s="39"/>
    </row>
    <row r="2" spans="1:8" x14ac:dyDescent="0.25">
      <c r="A2" s="106"/>
      <c r="B2" s="108" t="s">
        <v>43</v>
      </c>
      <c r="C2" s="110" t="s">
        <v>146</v>
      </c>
      <c r="D2" s="40"/>
      <c r="E2" s="41"/>
      <c r="F2" s="42" t="s">
        <v>44</v>
      </c>
      <c r="G2" s="95" t="s">
        <v>160</v>
      </c>
      <c r="H2" s="43"/>
    </row>
    <row r="3" spans="1:8" x14ac:dyDescent="0.25">
      <c r="A3" s="107"/>
      <c r="B3" s="109"/>
      <c r="C3" s="111"/>
      <c r="D3" s="40"/>
      <c r="E3" s="41"/>
      <c r="F3" s="42" t="s">
        <v>45</v>
      </c>
      <c r="G3" s="44"/>
      <c r="H3" s="43"/>
    </row>
    <row r="4" spans="1:8" x14ac:dyDescent="0.25">
      <c r="A4" s="45"/>
      <c r="B4" s="35" t="s">
        <v>46</v>
      </c>
      <c r="C4" s="88" t="s">
        <v>147</v>
      </c>
      <c r="D4" s="36"/>
      <c r="E4" s="37"/>
      <c r="F4" s="35" t="s">
        <v>47</v>
      </c>
      <c r="G4" s="46">
        <v>45815</v>
      </c>
      <c r="H4" s="39"/>
    </row>
    <row r="5" spans="1:8" x14ac:dyDescent="0.25">
      <c r="A5" s="47"/>
      <c r="B5" s="48"/>
      <c r="C5" s="48"/>
      <c r="D5" s="49"/>
      <c r="E5" s="49"/>
      <c r="F5" s="49"/>
      <c r="G5" s="48"/>
      <c r="H5" s="48"/>
    </row>
    <row r="6" spans="1:8" x14ac:dyDescent="0.25">
      <c r="A6" s="45"/>
      <c r="B6" s="35" t="s">
        <v>48</v>
      </c>
      <c r="C6" s="50"/>
      <c r="D6" s="51"/>
      <c r="E6" s="52"/>
      <c r="F6" s="52"/>
      <c r="G6" s="52"/>
      <c r="H6" s="50"/>
    </row>
    <row r="7" spans="1:8" x14ac:dyDescent="0.25">
      <c r="A7" s="47"/>
      <c r="B7" s="53" t="s">
        <v>49</v>
      </c>
      <c r="C7" s="53" t="s">
        <v>50</v>
      </c>
      <c r="D7" s="54" t="s">
        <v>51</v>
      </c>
      <c r="E7" s="2"/>
      <c r="F7" s="2"/>
      <c r="G7" s="2"/>
      <c r="H7" s="48"/>
    </row>
    <row r="8" spans="1:8" x14ac:dyDescent="0.25">
      <c r="A8" s="47"/>
      <c r="B8" s="91" t="s">
        <v>151</v>
      </c>
      <c r="C8" s="91" t="s">
        <v>153</v>
      </c>
      <c r="D8" s="49"/>
      <c r="E8" s="2"/>
      <c r="F8" s="2"/>
      <c r="G8" s="2"/>
      <c r="H8" s="48"/>
    </row>
    <row r="9" spans="1:8" x14ac:dyDescent="0.25">
      <c r="A9" s="47"/>
      <c r="B9" s="91" t="s">
        <v>154</v>
      </c>
      <c r="C9" s="91" t="s">
        <v>155</v>
      </c>
      <c r="D9" s="49"/>
      <c r="E9" s="49"/>
      <c r="F9" s="49"/>
      <c r="G9" s="48"/>
      <c r="H9" s="48"/>
    </row>
    <row r="10" spans="1:8" x14ac:dyDescent="0.25">
      <c r="A10" s="55">
        <f>COUNTA(A12:A27)</f>
        <v>2</v>
      </c>
      <c r="B10" s="56" t="s">
        <v>52</v>
      </c>
      <c r="C10" s="57" t="s">
        <v>53</v>
      </c>
      <c r="D10" s="58">
        <f t="shared" ref="D10:F10" si="0">COUNTIF(D12:D27,"x")</f>
        <v>2</v>
      </c>
      <c r="E10" s="58">
        <f t="shared" si="0"/>
        <v>0</v>
      </c>
      <c r="F10" s="58">
        <f t="shared" si="0"/>
        <v>0</v>
      </c>
      <c r="G10" s="59" t="s">
        <v>54</v>
      </c>
      <c r="H10" s="60">
        <f>(D10+E10+F10)/A10</f>
        <v>1</v>
      </c>
    </row>
    <row r="11" spans="1:8" ht="24.75" x14ac:dyDescent="0.25">
      <c r="A11" s="61" t="s">
        <v>55</v>
      </c>
      <c r="B11" s="62" t="s">
        <v>56</v>
      </c>
      <c r="C11" s="62" t="s">
        <v>57</v>
      </c>
      <c r="D11" s="63" t="s">
        <v>58</v>
      </c>
      <c r="E11" s="63" t="s">
        <v>59</v>
      </c>
      <c r="F11" s="63" t="s">
        <v>60</v>
      </c>
      <c r="G11" s="64" t="s">
        <v>61</v>
      </c>
      <c r="H11" s="65" t="s">
        <v>62</v>
      </c>
    </row>
    <row r="12" spans="1:8" ht="25.5" x14ac:dyDescent="0.25">
      <c r="A12" s="66">
        <v>1</v>
      </c>
      <c r="B12" s="93" t="s">
        <v>156</v>
      </c>
      <c r="C12" s="93" t="s">
        <v>85</v>
      </c>
      <c r="D12" s="72" t="s">
        <v>63</v>
      </c>
      <c r="E12" s="70"/>
      <c r="F12" s="70"/>
      <c r="G12" s="93" t="s">
        <v>85</v>
      </c>
      <c r="H12" s="71"/>
    </row>
    <row r="13" spans="1:8" x14ac:dyDescent="0.25">
      <c r="A13" s="69">
        <f t="shared" ref="A13" si="1">A12 + 1</f>
        <v>2</v>
      </c>
      <c r="B13" s="93" t="s">
        <v>157</v>
      </c>
      <c r="C13" s="93" t="s">
        <v>158</v>
      </c>
      <c r="D13" s="67" t="s">
        <v>63</v>
      </c>
      <c r="E13" s="70"/>
      <c r="F13" s="70"/>
      <c r="G13" s="93" t="s">
        <v>158</v>
      </c>
      <c r="H13" s="71"/>
    </row>
    <row r="14" spans="1:8" x14ac:dyDescent="0.25">
      <c r="A14" s="89"/>
      <c r="B14" s="89"/>
      <c r="C14" s="89"/>
      <c r="D14" s="89"/>
      <c r="E14" s="89"/>
      <c r="F14" s="89"/>
      <c r="G14" s="89"/>
      <c r="H14" s="89"/>
    </row>
    <row r="16" spans="1:8" x14ac:dyDescent="0.25">
      <c r="B16" s="53"/>
      <c r="C16" s="89"/>
    </row>
    <row r="17" spans="3:3" x14ac:dyDescent="0.25">
      <c r="C17" s="89"/>
    </row>
    <row r="18" spans="3:3" x14ac:dyDescent="0.25">
      <c r="C18" s="89"/>
    </row>
    <row r="19" spans="3:3" x14ac:dyDescent="0.25">
      <c r="C19" s="89"/>
    </row>
    <row r="20" spans="3:3" x14ac:dyDescent="0.25">
      <c r="C20" s="89"/>
    </row>
    <row r="21" spans="3:3" ht="15.75" customHeight="1" x14ac:dyDescent="0.25">
      <c r="C21" s="89"/>
    </row>
    <row r="22" spans="3:3" ht="15.75" customHeight="1" x14ac:dyDescent="0.25">
      <c r="C22" s="89"/>
    </row>
    <row r="23" spans="3:3" ht="15.75" customHeight="1" x14ac:dyDescent="0.25">
      <c r="C23" s="89"/>
    </row>
    <row r="24" spans="3:3" ht="15.75" customHeight="1" x14ac:dyDescent="0.25">
      <c r="C24" s="89"/>
    </row>
    <row r="25" spans="3:3" ht="15.75" customHeight="1" x14ac:dyDescent="0.25">
      <c r="C25" s="89"/>
    </row>
    <row r="26" spans="3:3" ht="15.75" customHeight="1" x14ac:dyDescent="0.25">
      <c r="C26" s="89"/>
    </row>
    <row r="27" spans="3:3" ht="15.75" customHeight="1" x14ac:dyDescent="0.25">
      <c r="C27" s="89"/>
    </row>
    <row r="28" spans="3:3" ht="15.75" customHeight="1" x14ac:dyDescent="0.25">
      <c r="C28" s="89"/>
    </row>
    <row r="29" spans="3:3" ht="15.75" customHeight="1" x14ac:dyDescent="0.25">
      <c r="C29" s="89"/>
    </row>
    <row r="30" spans="3:3" ht="15.75" customHeight="1" x14ac:dyDescent="0.25">
      <c r="C30" s="89"/>
    </row>
    <row r="31" spans="3:3" ht="15.75" customHeight="1" x14ac:dyDescent="0.25">
      <c r="C31" s="89"/>
    </row>
    <row r="32" spans="3:3" ht="15.75" customHeight="1" x14ac:dyDescent="0.25">
      <c r="C32" s="89"/>
    </row>
    <row r="33" spans="3:3" ht="15.75" customHeight="1" x14ac:dyDescent="0.25">
      <c r="C33" s="89"/>
    </row>
    <row r="34" spans="3:3" ht="15.75" customHeight="1" x14ac:dyDescent="0.25">
      <c r="C34" s="89"/>
    </row>
    <row r="35" spans="3:3" ht="15.75" customHeight="1" x14ac:dyDescent="0.25"/>
    <row r="36" spans="3:3" ht="15.75" customHeight="1" x14ac:dyDescent="0.25"/>
    <row r="37" spans="3:3" ht="15.75" customHeight="1" x14ac:dyDescent="0.25"/>
    <row r="38" spans="3:3" ht="15.75" customHeight="1" x14ac:dyDescent="0.25"/>
    <row r="39" spans="3:3" ht="15.75" customHeight="1" x14ac:dyDescent="0.25"/>
    <row r="40" spans="3:3" ht="15.75" customHeight="1" x14ac:dyDescent="0.25"/>
    <row r="41" spans="3:3" ht="15.75" customHeight="1" x14ac:dyDescent="0.25"/>
    <row r="42" spans="3:3" ht="15.75" customHeight="1" x14ac:dyDescent="0.25"/>
    <row r="43" spans="3:3" ht="15.75" customHeight="1" x14ac:dyDescent="0.25"/>
    <row r="44" spans="3:3" ht="15.75" customHeight="1" x14ac:dyDescent="0.25"/>
    <row r="45" spans="3:3" ht="15.75" customHeight="1" x14ac:dyDescent="0.25"/>
    <row r="46" spans="3:3" ht="15.75" customHeight="1" x14ac:dyDescent="0.25"/>
    <row r="47" spans="3:3" ht="15.75" customHeight="1" x14ac:dyDescent="0.25"/>
    <row r="48" spans="3: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2:A3"/>
    <mergeCell ref="B2:B3"/>
    <mergeCell ref="C2:C3"/>
  </mergeCells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00"/>
  <sheetViews>
    <sheetView zoomScale="175" zoomScaleNormal="175" workbookViewId="0">
      <selection activeCell="C18" sqref="C18"/>
    </sheetView>
  </sheetViews>
  <sheetFormatPr defaultColWidth="14.42578125" defaultRowHeight="15" customHeight="1" x14ac:dyDescent="0.25"/>
  <cols>
    <col min="1" max="1" width="8.7109375" customWidth="1"/>
    <col min="2" max="2" width="32.42578125" customWidth="1"/>
    <col min="3" max="3" width="35.5703125" customWidth="1"/>
    <col min="4" max="6" width="8.7109375" customWidth="1"/>
    <col min="7" max="7" width="28" customWidth="1"/>
    <col min="8" max="8" width="12.42578125" customWidth="1"/>
    <col min="9" max="26" width="8.7109375" customWidth="1"/>
  </cols>
  <sheetData>
    <row r="1" spans="1:8" x14ac:dyDescent="0.25">
      <c r="A1" s="34"/>
      <c r="B1" s="35" t="s">
        <v>41</v>
      </c>
      <c r="C1" s="87" t="s">
        <v>161</v>
      </c>
      <c r="D1" s="36"/>
      <c r="E1" s="37"/>
      <c r="F1" s="35" t="s">
        <v>42</v>
      </c>
      <c r="G1" s="94" t="s">
        <v>159</v>
      </c>
      <c r="H1" s="39"/>
    </row>
    <row r="2" spans="1:8" x14ac:dyDescent="0.25">
      <c r="A2" s="106"/>
      <c r="B2" s="108" t="s">
        <v>43</v>
      </c>
      <c r="C2" s="110" t="s">
        <v>163</v>
      </c>
      <c r="D2" s="40"/>
      <c r="E2" s="41"/>
      <c r="F2" s="42" t="s">
        <v>44</v>
      </c>
      <c r="G2" s="95" t="s">
        <v>160</v>
      </c>
      <c r="H2" s="43"/>
    </row>
    <row r="3" spans="1:8" x14ac:dyDescent="0.25">
      <c r="A3" s="107"/>
      <c r="B3" s="109"/>
      <c r="C3" s="111"/>
      <c r="D3" s="40"/>
      <c r="E3" s="41"/>
      <c r="F3" s="42" t="s">
        <v>45</v>
      </c>
      <c r="G3" s="44"/>
      <c r="H3" s="43"/>
    </row>
    <row r="4" spans="1:8" x14ac:dyDescent="0.25">
      <c r="A4" s="45"/>
      <c r="B4" s="35" t="s">
        <v>46</v>
      </c>
      <c r="C4" s="88" t="s">
        <v>147</v>
      </c>
      <c r="D4" s="36"/>
      <c r="E4" s="37"/>
      <c r="F4" s="35" t="s">
        <v>47</v>
      </c>
      <c r="G4" s="97">
        <v>45815</v>
      </c>
      <c r="H4" s="39"/>
    </row>
    <row r="5" spans="1:8" x14ac:dyDescent="0.25">
      <c r="A5" s="47"/>
      <c r="B5" s="48"/>
      <c r="C5" s="48"/>
      <c r="D5" s="49"/>
      <c r="E5" s="49"/>
      <c r="F5" s="49"/>
      <c r="G5" s="48"/>
      <c r="H5" s="48"/>
    </row>
    <row r="6" spans="1:8" x14ac:dyDescent="0.25">
      <c r="A6" s="45"/>
      <c r="B6" s="35" t="s">
        <v>48</v>
      </c>
      <c r="C6" s="50"/>
      <c r="D6" s="51"/>
      <c r="E6" s="52"/>
      <c r="F6" s="52"/>
      <c r="G6" s="52"/>
      <c r="H6" s="50"/>
    </row>
    <row r="7" spans="1:8" x14ac:dyDescent="0.25">
      <c r="A7" s="47"/>
      <c r="B7" s="53" t="s">
        <v>49</v>
      </c>
      <c r="C7" s="53" t="s">
        <v>50</v>
      </c>
      <c r="D7" s="54"/>
      <c r="E7" s="2"/>
      <c r="F7" s="2"/>
      <c r="G7" s="2"/>
      <c r="H7" s="48"/>
    </row>
    <row r="8" spans="1:8" x14ac:dyDescent="0.25">
      <c r="A8" s="47"/>
      <c r="B8" s="91" t="s">
        <v>151</v>
      </c>
      <c r="C8" s="91" t="s">
        <v>162</v>
      </c>
      <c r="D8" s="49"/>
      <c r="E8" s="2"/>
      <c r="F8" s="2"/>
      <c r="G8" s="2"/>
      <c r="H8" s="48"/>
    </row>
    <row r="9" spans="1:8" x14ac:dyDescent="0.25">
      <c r="A9" s="47"/>
      <c r="B9" s="91" t="s">
        <v>154</v>
      </c>
      <c r="C9" s="54">
        <v>345</v>
      </c>
      <c r="D9" s="49"/>
      <c r="E9" s="49"/>
      <c r="F9" s="49"/>
      <c r="G9" s="48"/>
      <c r="H9" s="48"/>
    </row>
    <row r="10" spans="1:8" x14ac:dyDescent="0.25">
      <c r="A10" s="55">
        <f>COUNTA(A12:A28)</f>
        <v>1</v>
      </c>
      <c r="B10" s="56" t="s">
        <v>52</v>
      </c>
      <c r="C10" s="57" t="s">
        <v>53</v>
      </c>
      <c r="D10" s="58">
        <f t="shared" ref="D10:F10" si="0">COUNTIF(D12:D28,"x")</f>
        <v>1</v>
      </c>
      <c r="E10" s="58">
        <f t="shared" si="0"/>
        <v>0</v>
      </c>
      <c r="F10" s="58">
        <f t="shared" si="0"/>
        <v>0</v>
      </c>
      <c r="G10" s="59" t="s">
        <v>54</v>
      </c>
      <c r="H10" s="60">
        <f>(D10+E10+F10)/A10</f>
        <v>1</v>
      </c>
    </row>
    <row r="11" spans="1:8" ht="24.75" x14ac:dyDescent="0.25">
      <c r="A11" s="61" t="s">
        <v>55</v>
      </c>
      <c r="B11" s="62" t="s">
        <v>56</v>
      </c>
      <c r="C11" s="62" t="s">
        <v>57</v>
      </c>
      <c r="D11" s="63" t="s">
        <v>58</v>
      </c>
      <c r="E11" s="63" t="s">
        <v>59</v>
      </c>
      <c r="F11" s="63" t="s">
        <v>60</v>
      </c>
      <c r="G11" s="64" t="s">
        <v>61</v>
      </c>
      <c r="H11" s="65" t="s">
        <v>62</v>
      </c>
    </row>
    <row r="12" spans="1:8" ht="38.25" x14ac:dyDescent="0.25">
      <c r="A12" s="66">
        <v>1</v>
      </c>
      <c r="B12" s="92" t="s">
        <v>164</v>
      </c>
      <c r="C12" s="92" t="s">
        <v>165</v>
      </c>
      <c r="D12" s="67" t="s">
        <v>63</v>
      </c>
      <c r="E12" s="67"/>
      <c r="F12" s="67"/>
      <c r="G12" s="92" t="s">
        <v>165</v>
      </c>
      <c r="H12" s="68"/>
    </row>
    <row r="13" spans="1:8" x14ac:dyDescent="0.25">
      <c r="A13" s="96"/>
      <c r="B13" s="96"/>
      <c r="C13" s="96"/>
      <c r="D13" s="96"/>
      <c r="E13" s="96"/>
      <c r="F13" s="96"/>
      <c r="G13" s="96"/>
      <c r="H13" s="96"/>
    </row>
    <row r="14" spans="1:8" x14ac:dyDescent="0.25">
      <c r="A14" s="96"/>
      <c r="B14" s="96"/>
      <c r="C14" s="96"/>
      <c r="D14" s="96"/>
      <c r="E14" s="96"/>
      <c r="F14" s="96"/>
      <c r="G14" s="96"/>
      <c r="H14" s="96"/>
    </row>
    <row r="15" spans="1:8" x14ac:dyDescent="0.25">
      <c r="A15" s="96"/>
      <c r="B15" s="96"/>
      <c r="C15" s="96"/>
      <c r="D15" s="96"/>
      <c r="E15" s="96"/>
      <c r="F15" s="96"/>
      <c r="G15" s="96"/>
      <c r="H15" s="96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2:A3"/>
    <mergeCell ref="B2:B3"/>
    <mergeCell ref="C2:C3"/>
  </mergeCells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CCF451-5A77-4852-973B-8ECABA48FEF8}">
  <dimension ref="A1:H1000"/>
  <sheetViews>
    <sheetView zoomScale="175" zoomScaleNormal="175" workbookViewId="0">
      <selection activeCell="G16" sqref="G16"/>
    </sheetView>
  </sheetViews>
  <sheetFormatPr defaultColWidth="14.42578125" defaultRowHeight="15" customHeight="1" x14ac:dyDescent="0.25"/>
  <cols>
    <col min="1" max="1" width="8.7109375" customWidth="1"/>
    <col min="2" max="2" width="32.42578125" customWidth="1"/>
    <col min="3" max="3" width="35.5703125" customWidth="1"/>
    <col min="4" max="6" width="8.7109375" customWidth="1"/>
    <col min="7" max="7" width="28" customWidth="1"/>
    <col min="8" max="8" width="12.42578125" customWidth="1"/>
    <col min="9" max="26" width="8.7109375" customWidth="1"/>
  </cols>
  <sheetData>
    <row r="1" spans="1:8" ht="25.5" x14ac:dyDescent="0.25">
      <c r="A1" s="34"/>
      <c r="B1" s="35" t="s">
        <v>41</v>
      </c>
      <c r="C1" s="87" t="s">
        <v>166</v>
      </c>
      <c r="D1" s="36"/>
      <c r="E1" s="37"/>
      <c r="F1" s="35" t="s">
        <v>42</v>
      </c>
      <c r="G1" s="94" t="s">
        <v>159</v>
      </c>
      <c r="H1" s="39"/>
    </row>
    <row r="2" spans="1:8" x14ac:dyDescent="0.25">
      <c r="A2" s="106"/>
      <c r="B2" s="108" t="s">
        <v>43</v>
      </c>
      <c r="C2" s="110" t="s">
        <v>167</v>
      </c>
      <c r="D2" s="40"/>
      <c r="E2" s="41"/>
      <c r="F2" s="42" t="s">
        <v>44</v>
      </c>
      <c r="G2" s="95" t="s">
        <v>160</v>
      </c>
      <c r="H2" s="43"/>
    </row>
    <row r="3" spans="1:8" ht="15.75" thickBot="1" x14ac:dyDescent="0.3">
      <c r="A3" s="107"/>
      <c r="B3" s="109"/>
      <c r="C3" s="111"/>
      <c r="D3" s="40"/>
      <c r="E3" s="41"/>
      <c r="F3" s="42" t="s">
        <v>45</v>
      </c>
      <c r="G3" s="44"/>
      <c r="H3" s="43"/>
    </row>
    <row r="4" spans="1:8" x14ac:dyDescent="0.25">
      <c r="A4" s="45"/>
      <c r="B4" s="35" t="s">
        <v>46</v>
      </c>
      <c r="C4" s="88" t="s">
        <v>147</v>
      </c>
      <c r="D4" s="36"/>
      <c r="E4" s="37"/>
      <c r="F4" s="35" t="s">
        <v>47</v>
      </c>
      <c r="G4" s="97">
        <v>45815</v>
      </c>
      <c r="H4" s="39"/>
    </row>
    <row r="5" spans="1:8" ht="15.75" thickBot="1" x14ac:dyDescent="0.3">
      <c r="A5" s="47"/>
      <c r="B5" s="48"/>
      <c r="C5" s="48"/>
      <c r="D5" s="49"/>
      <c r="E5" s="49"/>
      <c r="F5" s="49"/>
      <c r="G5" s="48"/>
      <c r="H5" s="48"/>
    </row>
    <row r="6" spans="1:8" x14ac:dyDescent="0.25">
      <c r="A6" s="45"/>
      <c r="B6" s="35" t="s">
        <v>48</v>
      </c>
      <c r="C6" s="50"/>
      <c r="D6" s="51"/>
      <c r="E6" s="52"/>
      <c r="F6" s="52"/>
      <c r="G6" s="52"/>
      <c r="H6" s="50"/>
    </row>
    <row r="7" spans="1:8" x14ac:dyDescent="0.25">
      <c r="A7" s="47"/>
      <c r="B7" s="53" t="s">
        <v>49</v>
      </c>
      <c r="C7" s="53" t="s">
        <v>50</v>
      </c>
      <c r="D7" s="54"/>
      <c r="E7" s="2"/>
      <c r="F7" s="2"/>
      <c r="G7" s="2"/>
      <c r="H7" s="48"/>
    </row>
    <row r="8" spans="1:8" x14ac:dyDescent="0.25">
      <c r="A8" s="47"/>
      <c r="B8" s="91" t="s">
        <v>151</v>
      </c>
      <c r="C8" s="91" t="s">
        <v>162</v>
      </c>
      <c r="D8" s="49"/>
      <c r="E8" s="2"/>
      <c r="F8" s="2"/>
      <c r="G8" s="2"/>
      <c r="H8" s="48"/>
    </row>
    <row r="9" spans="1:8" ht="15.75" thickBot="1" x14ac:dyDescent="0.3">
      <c r="A9" s="47"/>
      <c r="B9" s="91" t="s">
        <v>154</v>
      </c>
      <c r="C9" s="54">
        <v>1</v>
      </c>
      <c r="D9" s="49"/>
      <c r="E9" s="49"/>
      <c r="F9" s="49"/>
      <c r="G9" s="48"/>
      <c r="H9" s="48"/>
    </row>
    <row r="10" spans="1:8" ht="15.75" thickBot="1" x14ac:dyDescent="0.3">
      <c r="A10" s="55">
        <f>COUNTA(A12:A28)</f>
        <v>2</v>
      </c>
      <c r="B10" s="56" t="s">
        <v>52</v>
      </c>
      <c r="C10" s="57" t="s">
        <v>53</v>
      </c>
      <c r="D10" s="58">
        <f t="shared" ref="D10:F10" si="0">COUNTIF(D12:D28,"x")</f>
        <v>2</v>
      </c>
      <c r="E10" s="58">
        <f t="shared" si="0"/>
        <v>0</v>
      </c>
      <c r="F10" s="58">
        <f t="shared" si="0"/>
        <v>0</v>
      </c>
      <c r="G10" s="59" t="s">
        <v>54</v>
      </c>
      <c r="H10" s="60">
        <f>(D10+E10+F10)/A10</f>
        <v>1</v>
      </c>
    </row>
    <row r="11" spans="1:8" ht="25.5" thickBot="1" x14ac:dyDescent="0.3">
      <c r="A11" s="61" t="s">
        <v>55</v>
      </c>
      <c r="B11" s="62" t="s">
        <v>56</v>
      </c>
      <c r="C11" s="62" t="s">
        <v>57</v>
      </c>
      <c r="D11" s="63" t="s">
        <v>58</v>
      </c>
      <c r="E11" s="63" t="s">
        <v>59</v>
      </c>
      <c r="F11" s="63" t="s">
        <v>60</v>
      </c>
      <c r="G11" s="64" t="s">
        <v>61</v>
      </c>
      <c r="H11" s="65" t="s">
        <v>62</v>
      </c>
    </row>
    <row r="12" spans="1:8" ht="25.5" x14ac:dyDescent="0.25">
      <c r="A12" s="66">
        <v>1</v>
      </c>
      <c r="B12" s="92" t="s">
        <v>164</v>
      </c>
      <c r="C12" s="92" t="s">
        <v>168</v>
      </c>
      <c r="D12" s="72" t="s">
        <v>63</v>
      </c>
      <c r="E12" s="72"/>
      <c r="F12" s="72"/>
      <c r="G12" s="92" t="s">
        <v>168</v>
      </c>
      <c r="H12" s="68"/>
    </row>
    <row r="13" spans="1:8" ht="25.5" x14ac:dyDescent="0.25">
      <c r="A13" s="66">
        <v>2</v>
      </c>
      <c r="B13" s="92" t="s">
        <v>169</v>
      </c>
      <c r="C13" s="92" t="s">
        <v>170</v>
      </c>
      <c r="D13" s="72" t="s">
        <v>63</v>
      </c>
      <c r="E13" s="72"/>
      <c r="F13" s="72"/>
      <c r="G13" s="92" t="s">
        <v>170</v>
      </c>
      <c r="H13" s="68"/>
    </row>
    <row r="14" spans="1:8" x14ac:dyDescent="0.25">
      <c r="A14" s="96"/>
      <c r="B14" s="96"/>
      <c r="C14" s="96"/>
      <c r="D14" s="96"/>
      <c r="E14" s="96"/>
      <c r="F14" s="96"/>
      <c r="G14" s="96"/>
      <c r="H14" s="96"/>
    </row>
    <row r="15" spans="1:8" x14ac:dyDescent="0.25">
      <c r="A15" s="96"/>
      <c r="B15" s="96"/>
      <c r="C15" s="96"/>
      <c r="D15" s="96"/>
      <c r="E15" s="96"/>
      <c r="F15" s="96"/>
      <c r="G15" s="96"/>
      <c r="H15" s="96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A2:A3"/>
    <mergeCell ref="B2:B3"/>
    <mergeCell ref="C2:C3"/>
  </mergeCells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topLeftCell="A2" workbookViewId="0">
      <selection activeCell="D16" sqref="D16"/>
    </sheetView>
  </sheetViews>
  <sheetFormatPr defaultColWidth="14.42578125" defaultRowHeight="15" customHeight="1" x14ac:dyDescent="0.25"/>
  <cols>
    <col min="1" max="26" width="25.42578125" customWidth="1"/>
  </cols>
  <sheetData>
    <row r="1" spans="1:4" x14ac:dyDescent="0.25">
      <c r="A1" s="73" t="s">
        <v>64</v>
      </c>
      <c r="B1" s="112"/>
      <c r="C1" s="113"/>
      <c r="D1" s="114"/>
    </row>
    <row r="2" spans="1:4" x14ac:dyDescent="0.25">
      <c r="A2" s="73" t="s">
        <v>62</v>
      </c>
      <c r="B2" s="74"/>
      <c r="C2" s="73" t="s">
        <v>65</v>
      </c>
      <c r="D2" s="75"/>
    </row>
    <row r="3" spans="1:4" x14ac:dyDescent="0.25">
      <c r="A3" s="73" t="s">
        <v>66</v>
      </c>
      <c r="B3" s="8"/>
      <c r="C3" s="73" t="s">
        <v>67</v>
      </c>
      <c r="D3" s="8"/>
    </row>
    <row r="4" spans="1:4" x14ac:dyDescent="0.25">
      <c r="A4" s="73" t="s">
        <v>68</v>
      </c>
      <c r="B4" s="8"/>
      <c r="C4" s="73" t="s">
        <v>69</v>
      </c>
      <c r="D4" s="8"/>
    </row>
    <row r="5" spans="1:4" x14ac:dyDescent="0.25">
      <c r="A5" s="73" t="s">
        <v>70</v>
      </c>
      <c r="B5" s="8"/>
      <c r="C5" s="73" t="s">
        <v>71</v>
      </c>
      <c r="D5" s="8"/>
    </row>
    <row r="6" spans="1:4" x14ac:dyDescent="0.25">
      <c r="A6" s="76"/>
      <c r="B6" s="76"/>
      <c r="C6" s="8"/>
      <c r="D6" s="8"/>
    </row>
    <row r="7" spans="1:4" x14ac:dyDescent="0.25">
      <c r="A7" s="76"/>
      <c r="B7" s="76"/>
      <c r="C7" s="8"/>
      <c r="D7" s="8"/>
    </row>
    <row r="8" spans="1:4" x14ac:dyDescent="0.25">
      <c r="A8" s="76"/>
      <c r="B8" s="76"/>
      <c r="C8" s="8"/>
      <c r="D8" s="8"/>
    </row>
    <row r="9" spans="1:4" x14ac:dyDescent="0.25">
      <c r="A9" s="76"/>
      <c r="B9" s="8"/>
      <c r="C9" s="8"/>
      <c r="D9" s="8"/>
    </row>
    <row r="10" spans="1:4" x14ac:dyDescent="0.25">
      <c r="A10" s="76"/>
      <c r="B10" s="8"/>
      <c r="C10" s="8"/>
      <c r="D10" s="8"/>
    </row>
    <row r="11" spans="1:4" x14ac:dyDescent="0.25">
      <c r="A11" s="73" t="s">
        <v>72</v>
      </c>
      <c r="B11" s="8"/>
      <c r="C11" s="73" t="s">
        <v>73</v>
      </c>
      <c r="D11" s="8"/>
    </row>
    <row r="12" spans="1:4" ht="188.25" customHeight="1" x14ac:dyDescent="0.25">
      <c r="A12" s="77" t="s">
        <v>74</v>
      </c>
      <c r="B12" s="115"/>
      <c r="C12" s="113"/>
      <c r="D12" s="114"/>
    </row>
    <row r="13" spans="1:4" ht="145.5" customHeight="1" x14ac:dyDescent="0.25">
      <c r="A13" s="73" t="s">
        <v>75</v>
      </c>
      <c r="B13" s="112"/>
      <c r="C13" s="113"/>
      <c r="D13" s="11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3">
    <mergeCell ref="B1:D1"/>
    <mergeCell ref="B12:D12"/>
    <mergeCell ref="B13:D13"/>
  </mergeCells>
  <dataValidations count="3">
    <dataValidation type="list" allowBlank="1" showErrorMessage="1" sqref="B5" xr:uid="{00000000-0002-0000-0400-000000000000}">
      <formula1>$A$6:$A$10</formula1>
    </dataValidation>
    <dataValidation type="list" allowBlank="1" showErrorMessage="1" sqref="D5" xr:uid="{00000000-0002-0000-0400-000001000000}">
      <formula1>$B$6:$B$8</formula1>
    </dataValidation>
    <dataValidation type="list" allowBlank="1" showErrorMessage="1" sqref="B4" xr:uid="{00000000-0002-0000-0400-000002000000}">
      <formula1>$C$6:$C$10</formula1>
    </dataValidation>
  </dataValidations>
  <pageMargins left="0.7" right="0.7" top="0.75" bottom="0.75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Тест-план</vt:lpstr>
      <vt:lpstr>Чек-лист + Дефекты</vt:lpstr>
      <vt:lpstr>Тест-кейс 1 Столярж</vt:lpstr>
      <vt:lpstr>Тест-кейс 2 Столярж</vt:lpstr>
      <vt:lpstr>Тест-кейс 3 Столярж</vt:lpstr>
      <vt:lpstr>Дефект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степан Столярж</cp:lastModifiedBy>
  <dcterms:created xsi:type="dcterms:W3CDTF">2006-09-28T05:33:49Z</dcterms:created>
  <dcterms:modified xsi:type="dcterms:W3CDTF">2025-06-11T10:52:26Z</dcterms:modified>
</cp:coreProperties>
</file>